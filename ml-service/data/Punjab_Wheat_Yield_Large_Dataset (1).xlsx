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heat_Yield_Data" sheetId="1" state="visible" r:id="rId3"/>
    <sheet name="Source_Verification" sheetId="2" state="visible" r:id="rId4"/>
    <sheet name="Missing_Unverified" sheetId="3" state="visible" r:id="rId5"/>
    <sheet name="Summary" sheetId="4" state="visible" r:id="rId6"/>
    <sheet name="District_Name_Map" sheetId="5" state="visible" r:id="rId7"/>
  </sheets>
  <definedNames>
    <definedName function="false" hidden="true" localSheetId="2" name="_xlnm._FilterDatabase" vbProcedure="false">Missing_Unverified!$A$1:$E$77</definedName>
    <definedName function="false" hidden="true" localSheetId="1" name="_xlnm._FilterDatabase" vbProcedure="false">Source_Verification!$A$1:$J$437</definedName>
    <definedName function="false" hidden="true" localSheetId="0" name="_xlnm._FilterDatabase" vbProcedure="false">Wheat_Yield_Data!$A$1:$H$437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<sst xmlns="http://schemas.openxmlformats.org/spreadsheetml/2006/main" count="4895" uniqueCount="620">
  <si>
    <t xml:space="preserve">District</t>
  </si>
  <si>
    <t xml:space="preserve">Season</t>
  </si>
  <si>
    <t xml:space="preserve">Wheat Area (ha)</t>
  </si>
  <si>
    <t xml:space="preserve">Wheat Production (tonnes)</t>
  </si>
  <si>
    <t xml:space="preserve">Wheat Yield (kg/ha)</t>
  </si>
  <si>
    <t xml:space="preserve">Source</t>
  </si>
  <si>
    <t xml:space="preserve">Source URL</t>
  </si>
  <si>
    <t xml:space="preserve">Verification Status</t>
  </si>
  <si>
    <t xml:space="preserve">Attock</t>
  </si>
  <si>
    <t xml:space="preserve">2010-11</t>
  </si>
  <si>
    <t xml:space="preserve">CRS Punjab - Rabi Crops Estimates 2011-12 (prior-year column)</t>
  </si>
  <si>
    <t xml:space="preserve">https://agripunjab.punjab.gov.pk/system/files/Rabi%20Book%20All%20estimates%202011-12_0.pdf</t>
  </si>
  <si>
    <t xml:space="preserve">Verified: directly reported (CRS prior-year column of the following season report)</t>
  </si>
  <si>
    <t xml:space="preserve">2011-12</t>
  </si>
  <si>
    <t xml:space="preserve">CRS Punjab - Rabi Crops Estimates 2011-12</t>
  </si>
  <si>
    <t xml:space="preserve">Verified: directly reported (CRS final estimate)</t>
  </si>
  <si>
    <t xml:space="preserve">2012-13</t>
  </si>
  <si>
    <t xml:space="preserve">CRS Punjab - Rabi Crop Estimates Data Book 2013-14 (prior-year column)</t>
  </si>
  <si>
    <t xml:space="preserve">https://agripunjab.punjab.gov.pk/system/files/Final%20Rabi%20Estimates%202013-14.pdf</t>
  </si>
  <si>
    <t xml:space="preserve">2013-14</t>
  </si>
  <si>
    <t xml:space="preserve">CRS Punjab - Rabi Crop Estimates Data Book 2013-14</t>
  </si>
  <si>
    <t xml:space="preserve">2014-15</t>
  </si>
  <si>
    <t xml:space="preserve">CRS Punjab - Rabi Book 2015-16 (prior-year column)</t>
  </si>
  <si>
    <t xml:space="preserve">https://agripunjab.punjab.gov.pk/system/files/RABI%20BOOK%202015-16_0.pdf</t>
  </si>
  <si>
    <t xml:space="preserve">2015-16</t>
  </si>
  <si>
    <t xml:space="preserve">CRS Punjab - Rabi Book 2015-16</t>
  </si>
  <si>
    <t xml:space="preserve">Verified: yield calculated from official area &amp; production (printed total yield differs, see notes)</t>
  </si>
  <si>
    <t xml:space="preserve">2016-17</t>
  </si>
  <si>
    <t xml:space="preserve">CRS Punjab - Final Rabi Estimates 2017-18 (prior-year column)</t>
  </si>
  <si>
    <t xml:space="preserve">https://agripunjab.punjab.gov.pk/system/files/Final%20%20Rabi%20Estimates%202017-18.pdf</t>
  </si>
  <si>
    <t xml:space="preserve">2017-18</t>
  </si>
  <si>
    <t xml:space="preserve">CRS Punjab - Final Rabi Estimates 2017-18</t>
  </si>
  <si>
    <t xml:space="preserve">2018-19</t>
  </si>
  <si>
    <t xml:space="preserve">CRS Punjab - Final Rabi Estimates 2018-19</t>
  </si>
  <si>
    <t xml:space="preserve">https://agripunjab.punjab.gov.pk/system/files/Final%20Rabi%20Estimates%202018-19.pdf</t>
  </si>
  <si>
    <t xml:space="preserve">2020-21</t>
  </si>
  <si>
    <t xml:space="preserve">CRS Punjab - Rabi Crops Estimates 2021-22 (prior-year column)</t>
  </si>
  <si>
    <t xml:space="preserve">https://agripunjab.punjab.gov.pk/system/files/Final%20Rabi%20Estimates%202021-22.pdf</t>
  </si>
  <si>
    <t xml:space="preserve">Verified: directly reported (CRS prior-year column of the following season report); printed area total corrected from printed components (see notes)</t>
  </si>
  <si>
    <t xml:space="preserve">2021-22</t>
  </si>
  <si>
    <t xml:space="preserve">CRS Punjab - Rabi Crops Estimates 2021-22</t>
  </si>
  <si>
    <t xml:space="preserve">2022-23</t>
  </si>
  <si>
    <t xml:space="preserve">CRS Punjab - Final Rabi Estimates 2022-23</t>
  </si>
  <si>
    <t xml:space="preserve">https://agripunjab.punjab.gov.pk/system/files/Final%20Rabi%20Estimates%202022-23.pdf</t>
  </si>
  <si>
    <t xml:space="preserve">Bahawalnagar</t>
  </si>
  <si>
    <t xml:space="preserve">Bahawalpur</t>
  </si>
  <si>
    <t xml:space="preserve">Bhakkar</t>
  </si>
  <si>
    <t xml:space="preserve">Chakwal</t>
  </si>
  <si>
    <t xml:space="preserve">Verified: directly reported (CRS final estimate); BOUNDARY CHANGE: area reduced when Talagang District was carved out - not comparable with earlier seasons</t>
  </si>
  <si>
    <t xml:space="preserve">Chiniot</t>
  </si>
  <si>
    <t xml:space="preserve">D.G. Khan</t>
  </si>
  <si>
    <t xml:space="preserve">Faisalabad</t>
  </si>
  <si>
    <t xml:space="preserve">Gujranwala</t>
  </si>
  <si>
    <t xml:space="preserve">Verified: directly reported (CRS final estimate); BOUNDARY CHANGE: area reduced when Wazirabad District was carved out - not comparable with earlier seasons</t>
  </si>
  <si>
    <t xml:space="preserve">Gujrat</t>
  </si>
  <si>
    <t xml:space="preserve">Hafizabad</t>
  </si>
  <si>
    <t xml:space="preserve">Jhang</t>
  </si>
  <si>
    <t xml:space="preserve">Jhelum</t>
  </si>
  <si>
    <t xml:space="preserve">Kasur</t>
  </si>
  <si>
    <t xml:space="preserve">Khanewal</t>
  </si>
  <si>
    <t xml:space="preserve">Khushab</t>
  </si>
  <si>
    <t xml:space="preserve">Kot Addu</t>
  </si>
  <si>
    <t xml:space="preserve">Verified: directly reported (CRS final estimate); NEW DISTRICT (no earlier seasons)</t>
  </si>
  <si>
    <t xml:space="preserve">Lahore</t>
  </si>
  <si>
    <t xml:space="preserve">Layyah</t>
  </si>
  <si>
    <t xml:space="preserve">Lodhran</t>
  </si>
  <si>
    <t xml:space="preserve">M.B. Din</t>
  </si>
  <si>
    <t xml:space="preserve">M.B.Din</t>
  </si>
  <si>
    <t xml:space="preserve">Mianwali</t>
  </si>
  <si>
    <t xml:space="preserve">Multan</t>
  </si>
  <si>
    <t xml:space="preserve">Muree</t>
  </si>
  <si>
    <t xml:space="preserve">Muzaffargarh</t>
  </si>
  <si>
    <t xml:space="preserve">Muzzafargargh</t>
  </si>
  <si>
    <t xml:space="preserve">Verified: directly reported (CRS final estimate); BOUNDARY CHANGE: area reduced when Kot Addu District was carved out - not comparable with earlier seasons</t>
  </si>
  <si>
    <t xml:space="preserve">Nankana Sahib</t>
  </si>
  <si>
    <t xml:space="preserve">Narowal</t>
  </si>
  <si>
    <t xml:space="preserve">Okara</t>
  </si>
  <si>
    <t xml:space="preserve">Pakpattan</t>
  </si>
  <si>
    <t xml:space="preserve">Rahim Yar Khan</t>
  </si>
  <si>
    <t xml:space="preserve">R.Y. Khan</t>
  </si>
  <si>
    <t xml:space="preserve">Rajan Pur</t>
  </si>
  <si>
    <t xml:space="preserve">Rawalpindi</t>
  </si>
  <si>
    <t xml:space="preserve">Verified: directly reported (CRS final estimate); BOUNDARY CHANGE: area reduced when Murree District was carved out - not comparable with earlier seasons</t>
  </si>
  <si>
    <t xml:space="preserve">Sahiwal</t>
  </si>
  <si>
    <t xml:space="preserve">Sargodha</t>
  </si>
  <si>
    <t xml:space="preserve">Sheikhupura</t>
  </si>
  <si>
    <t xml:space="preserve">Sialkot</t>
  </si>
  <si>
    <t xml:space="preserve">Talagang</t>
  </si>
  <si>
    <t xml:space="preserve">T.T. Singh</t>
  </si>
  <si>
    <t xml:space="preserve">Vehari</t>
  </si>
  <si>
    <t xml:space="preserve">Wazirabad</t>
  </si>
  <si>
    <t xml:space="preserve">Area (ha)</t>
  </si>
  <si>
    <t xml:space="preserve">Production (tonnes)</t>
  </si>
  <si>
    <t xml:space="preserve">Yield (kg/ha)</t>
  </si>
  <si>
    <t xml:space="preserve">Source Document</t>
  </si>
  <si>
    <t xml:space="preserve">Page/Table Number</t>
  </si>
  <si>
    <t xml:space="preserve">Directly Reported or Calculated</t>
  </si>
  <si>
    <t xml:space="preserve">Verification Notes</t>
  </si>
  <si>
    <t xml:space="preserve">Crop Reporting Service, Agriculture Dept Punjab - Rabi Crops Estimates 2011-12 (Rabi Book All estimates 2011-12), Final Estimate of Wheat Crop - value from prior-year column</t>
  </si>
  <si>
    <t xml:space="preserve">Area p.3 (Area in '000' Hectares); Production p.4 (Production '000' Tonnes); Yield p.6 (Yield in Kgs/Hectares)</t>
  </si>
  <si>
    <t xml:space="preserve">Directly reported</t>
  </si>
  <si>
    <t xml:space="preserve">Value taken from the prior-year column of the Rabi Crops Estimates 2011-12 report. Published yield 1621 kg/ha vs production x 1000 / area = 1621.6 (difference -0.6, rounding).</t>
  </si>
  <si>
    <t xml:space="preserve">Crop Reporting Service, Agriculture Dept Punjab - Rabi Crops Estimates 2011-12 (Rabi Book All estimates 2011-12), Final Estimate of Wheat Crop</t>
  </si>
  <si>
    <t xml:space="preserve">Published yield 1075 kg/ha vs production x 1000 / area = 1075.4 (difference -0.4, rounding).</t>
  </si>
  <si>
    <t xml:space="preserve">Crop Reporting Service, Agriculture Dept Punjab - Rabi Crop Estimates Data Book 2013-14 (Final Rabi Estimates 2013-14), Final Estimate of Wheat Crop - value from prior-year column</t>
  </si>
  <si>
    <t xml:space="preserve">Value taken from the prior-year column of the Rabi Crop Estimates Data Book 2013-14 report. Published yield 1056 kg/ha vs production x 1000 / area = 1055.6 (difference 0.4, rounding). Cross-check vs AMIS Punjab - District Wise Data of Wheat 2012-14 &lt;http://www.amis.pk/Agristatistics/DistrictWise/2012-2014/Wheat.html&gt;: area 155,800 ha, production 164,500 t (area diff +0 ha, production diff +30 t).</t>
  </si>
  <si>
    <t xml:space="preserve">Crop Reporting Service, Agriculture Dept Punjab - Rabi Crop Estimates Data Book 2013-14 (Final Rabi Estimates 2013-14), Final Estimate of Wheat Crop</t>
  </si>
  <si>
    <t xml:space="preserve">Published yield 1372 kg/ha vs production x 1000 / area = 1372.8 (difference -0.8, rounding). Cross-check vs AMIS Punjab - District Wise Data of Wheat 2012-14 &lt;http://www.amis.pk/Agristatistics/DistrictWise/2012-2014/Wheat.html&gt;: area 159,100 ha, production 218,300 t (area diff +60 ha, production diff -30 t).</t>
  </si>
  <si>
    <t xml:space="preserve">Crop Reporting Service, Agriculture Dept Punjab - Rabi Crops Estimates Data Book 2015-16 (RABI BOOK 2015-16), Final Estimate of Wheat Crop - value from prior-year column</t>
  </si>
  <si>
    <t xml:space="preserve">Value taken from the prior-year column of the Rabi Book 2015-16 report. Published yield 1733 kg/ha vs production x 1000 / area = 1733.4 (difference -0.4, rounding).</t>
  </si>
  <si>
    <t xml:space="preserve">Crop Reporting Service, Agriculture Dept Punjab - Rabi Crops Estimates Data Book 2015-16 (RABI BOOK 2015-16), Final Estimate of Wheat Crop</t>
  </si>
  <si>
    <t xml:space="preserve">Calculated</t>
  </si>
  <si>
    <t xml:space="preserve">The source prints a total yield of 1802 kg/ha, but the same row's printed area and production give 1785.3 kg/ha (difference 16.7). The row's own irrigated and un-irrigated yields agree with production/area, and the district sums match the printed provincial totals, so the printed total-yield cell is the inconsistent one. Yield is therefore calculated = production (t) x 1000 / area (ha); the printed value is kept here for reference.</t>
  </si>
  <si>
    <t xml:space="preserve">Crop Reporting Service, Agriculture Dept Punjab - Final Rabi Estimates 2017-18, Final Estimate of Wheat Crop in the Punjab for the year 2017-2018 - value from prior-year column</t>
  </si>
  <si>
    <t xml:space="preserve">Area wheat 'AREA IN '000' HECTARES' table; Production wheat 'PRODUCTION '000' TONNES' table; Yield wheat 'YIELD IN KGS / HECTARES' table (page numbers not printed in extracted text)</t>
  </si>
  <si>
    <t xml:space="preserve">Value taken from the prior-year column of the Final Rabi Estimates 2017-18 report. Published yield 1355 kg/ha vs production x 1000 / area = 1354.7 (difference 0.3, rounding).</t>
  </si>
  <si>
    <t xml:space="preserve">Crop Reporting Service, Agriculture Dept Punjab - Final Rabi Estimates 2017-18, Final Estimate of Wheat Crop in the Punjab for the year 2017-2018</t>
  </si>
  <si>
    <t xml:space="preserve">Published yield 1474 kg/ha vs production x 1000 / area = 1474.3 (difference -0.3, rounding).</t>
  </si>
  <si>
    <t xml:space="preserve">Crop Reporting Service, Agriculture Dept Punjab - Final Rabi Estimates 2018-19, Final Estimate of Wheat Crop in the Punjab for the year 2018-2019</t>
  </si>
  <si>
    <t xml:space="preserve">Published yield 1895 kg/ha vs production x 1000 / area = 1895.8 (difference -0.8, rounding).</t>
  </si>
  <si>
    <t xml:space="preserve">Crop Reporting Service, Agriculture Dept Punjab - Rabi Crops Estimates 2021-22 (Final Rabi Estimates 2021-22), Final Estimate of Wheat Crop - value from prior-year column</t>
  </si>
  <si>
    <t xml:space="preserve">Area p.2 (Area in '000' Hectares); Production p.3 (Production '000' Tonnes); Yield p.5 (Yield in Kgs/Hectares)</t>
  </si>
  <si>
    <t xml:space="preserve">Value taken from the prior-year column of the Rabi Crops Estimates 2021-22 report. Source prints the 2020-21 area total as 23.15; its printed components are 3.24 (irrigated) + 199.91 (un-irrigated) = 203.15 ('000 ha). 203.15 is consistent with the printed 502 ('000 acres), production 359.00 and yield 1767. Corrected value used. Published yield 1767 kg/ha vs production x 1000 / area = 1767.2 (difference -0.2, rounding).</t>
  </si>
  <si>
    <t xml:space="preserve">Crop Reporting Service, Agriculture Dept Punjab - Rabi Crops Estimates 2021-22 (Final Rabi Estimates 2021-22), Final Estimate of Wheat Crop</t>
  </si>
  <si>
    <t xml:space="preserve">Published yield 1697 kg/ha vs production x 1000 / area = 1696.6 (difference 0.4, rounding).</t>
  </si>
  <si>
    <t xml:space="preserve">Crop Reporting Service, Agriculture Dept Punjab - Final Rabi Estimates 2022-23, Final Estimate of Wheat Crop, Punjab 2022-23</t>
  </si>
  <si>
    <t xml:space="preserve">Area p.4 (Area in '000 hect); Production p.2 (Production in '000 tons); Yield p.5 (Avg. Yield Kg/Hect)</t>
  </si>
  <si>
    <t xml:space="preserve">Published yield 1831 kg/ha vs production x 1000 / area = 1830.7 (difference 0.3, rounding).</t>
  </si>
  <si>
    <t xml:space="preserve">Value taken from the prior-year column of the Rabi Crops Estimates 2011-12 report. Published yield 3123 kg/ha vs production x 1000 / area = 3122.9 (difference 0.1, rounding).</t>
  </si>
  <si>
    <t xml:space="preserve">Published yield 2941 kg/ha vs production x 1000 / area = 2941.4 (difference -0.4, rounding).</t>
  </si>
  <si>
    <t xml:space="preserve">Value taken from the prior-year column of the Rabi Crop Estimates Data Book 2013-14 report. Published yield 2984 kg/ha vs production x 1000 / area = 2983.3 (difference 0.7, rounding). Cross-check vs AMIS Punjab - District Wise Data of Wheat 2012-14 &lt;http://www.amis.pk/Agristatistics/DistrictWise/2012-2014/Wheat.html&gt;: area 335,800 ha, production 1,002,100 t (area diff -90 ha, production diff +30 t).</t>
  </si>
  <si>
    <t xml:space="preserve">Published yield 3035 kg/ha vs production x 1000 / area = 3035.4 (difference -0.4, rounding). Cross-check vs AMIS Punjab - District Wise Data of Wheat 2012-14 &lt;http://www.amis.pk/Agristatistics/DistrictWise/2012-2014/Wheat.html&gt;: area 358,900 ha, production 1,089,600 t (area diff -50 ha, production diff +50 t).</t>
  </si>
  <si>
    <t xml:space="preserve">Value taken from the prior-year column of the Rabi Book 2015-16 report. Published yield 3146 kg/ha vs production x 1000 / area = 3146.4 (difference -0.4, rounding).</t>
  </si>
  <si>
    <t xml:space="preserve">The source prints a total yield of 3058 kg/ha, but the same row's printed area and production give 3051.8 kg/ha (difference 6.2). The row's own irrigated and un-irrigated yields agree with production/area, and the district sums match the printed provincial totals, so the printed total-yield cell is the inconsistent one. Yield is therefore calculated = production (t) x 1000 / area (ha); the printed value is kept here for reference.</t>
  </si>
  <si>
    <t xml:space="preserve">Value taken from the prior-year column of the Final Rabi Estimates 2017-18 report. Published yield 3269 kg/ha vs production x 1000 / area = 3269.1 (difference -0.1, rounding).</t>
  </si>
  <si>
    <t xml:space="preserve">Published yield 3069 kg/ha vs production x 1000 / area = 3069.1 (difference -0.1, rounding).</t>
  </si>
  <si>
    <t xml:space="preserve">Published yield 3246 kg/ha vs production x 1000 / area = 3245.5 (difference 0.5, rounding).</t>
  </si>
  <si>
    <t xml:space="preserve">Value taken from the prior-year column of the Rabi Crops Estimates 2021-22 report. Published yield 3718 kg/ha vs production x 1000 / area = 3717.6 (difference 0.4, rounding).</t>
  </si>
  <si>
    <t xml:space="preserve">Published yield 3562 kg/ha vs production x 1000 / area = 3562.8 (difference -0.8, rounding).</t>
  </si>
  <si>
    <t xml:space="preserve">Published yield 3693 kg/ha vs production x 1000 / area = 3692.4 (difference 0.6, rounding).</t>
  </si>
  <si>
    <t xml:space="preserve">Value taken from the prior-year column of the Rabi Crops Estimates 2011-12 report. Published yield 3145 kg/ha vs production x 1000 / area = 3144.7 (difference 0.3, rounding).</t>
  </si>
  <si>
    <t xml:space="preserve">Published yield 3191 kg/ha vs production x 1000 / area = 3191.0 (difference 0.0, rounding).</t>
  </si>
  <si>
    <t xml:space="preserve">Value taken from the prior-year column of the Rabi Crop Estimates Data Book 2013-14 report. Published yield 2999 kg/ha vs production x 1000 / area = 2999.2 (difference -0.2, rounding). Cross-check vs AMIS Punjab - District Wise Data of Wheat 2012-14 &lt;http://www.amis.pk/Agristatistics/DistrictWise/2012-2014/Wheat.html&gt;: area 265,400 ha, production 796,200 t (area diff -60 ha, production diff +40 t).</t>
  </si>
  <si>
    <t xml:space="preserve">Published yield 3024 kg/ha vs production x 1000 / area = 3024.7 (difference -0.7, rounding). Cross-check vs AMIS Punjab - District Wise Data of Wheat 2012-14 &lt;http://www.amis.pk/Agristatistics/DistrictWise/2012-2014/Wheat.html&gt;: area 291,300 ha, production 881,300 t (area diff -70 ha, production diff +0 t).</t>
  </si>
  <si>
    <t xml:space="preserve">Value taken from the prior-year column of the Rabi Book 2015-16 report. Published yield 3047 kg/ha vs production x 1000 / area = 3047.1 (difference -0.1, rounding).</t>
  </si>
  <si>
    <t xml:space="preserve">The source prints a total yield of 3239 kg/ha, but the same row's printed area and production give 3227.2 kg/ha (difference 11.8). The row's own irrigated and un-irrigated yields agree with production/area, and the district sums match the printed provincial totals, so the printed total-yield cell is the inconsistent one. Yield is therefore calculated = production (t) x 1000 / area (ha); the printed value is kept here for reference.</t>
  </si>
  <si>
    <t xml:space="preserve">Value taken from the prior-year column of the Final Rabi Estimates 2017-18 report. Published yield 3402 kg/ha vs production x 1000 / area = 3402.4 (difference -0.4, rounding).</t>
  </si>
  <si>
    <t xml:space="preserve">Published yield 3222 kg/ha vs production x 1000 / area = 3222.1 (difference -0.1, rounding).</t>
  </si>
  <si>
    <t xml:space="preserve">Published yield 3016 kg/ha vs production x 1000 / area = 3016.0 (difference 0.0, rounding).</t>
  </si>
  <si>
    <t xml:space="preserve">Value taken from the prior-year column of the Rabi Crops Estimates 2021-22 report. Published yield 3331 kg/ha vs production x 1000 / area = 3331.0 (difference -0.0, rounding).</t>
  </si>
  <si>
    <t xml:space="preserve">Published yield 3556 kg/ha vs production x 1000 / area = 3556.4 (difference -0.4, rounding).</t>
  </si>
  <si>
    <t xml:space="preserve">Published yield 3731 kg/ha vs production x 1000 / area = 3731.7 (difference -0.7, rounding).</t>
  </si>
  <si>
    <t xml:space="preserve">Value taken from the prior-year column of the Rabi Crops Estimates 2011-12 report. Published yield 2446 kg/ha vs production x 1000 / area = 2445.9 (difference 0.1, rounding).</t>
  </si>
  <si>
    <t xml:space="preserve">Published yield 2234 kg/ha vs production x 1000 / area = 2233.5 (difference 0.5, rounding).</t>
  </si>
  <si>
    <t xml:space="preserve">Value taken from the prior-year column of the Rabi Crop Estimates Data Book 2013-14 report. Published yield 2438 kg/ha vs production x 1000 / area = 2437.5 (difference 0.5, rounding). Cross-check vs AMIS Punjab - District Wise Data of Wheat 2012-14 &lt;http://www.amis.pk/Agristatistics/DistrictWise/2012-2014/Wheat.html&gt;: area 168,000 ha, production 409,400 t (area diff +60 ha, production diff +50 t).</t>
  </si>
  <si>
    <t xml:space="preserve">Published yield 2518 kg/ha vs production x 1000 / area = 2517.9 (difference 0.1, rounding). Cross-check vs AMIS Punjab - District Wise Data of Wheat 2012-14 &lt;http://www.amis.pk/Agristatistics/DistrictWise/2012-2014/Wheat.html&gt;: area 173,200 ha, production 436,100 t (area diff -10 ha, production diff -20 t).</t>
  </si>
  <si>
    <t xml:space="preserve">Value taken from the prior-year column of the Rabi Book 2015-16 report. Published yield 2226 kg/ha vs production x 1000 / area = 2226.1 (difference -0.1, rounding).</t>
  </si>
  <si>
    <t xml:space="preserve">The source prints a total yield of 2225 kg/ha, but the same row's printed area and production give 2280.9 kg/ha (difference -55.9). The row's own irrigated and un-irrigated yields agree with production/area, and the district sums match the printed provincial totals, so the printed total-yield cell is the inconsistent one. Yield is therefore calculated = production (t) x 1000 / area (ha); the printed value is kept here for reference.</t>
  </si>
  <si>
    <t xml:space="preserve">Value taken from the prior-year column of the Final Rabi Estimates 2017-18 report. Published yield 3070 kg/ha vs production x 1000 / area = 3070.6 (difference -0.6, rounding).</t>
  </si>
  <si>
    <t xml:space="preserve">Published yield 2331 kg/ha vs production x 1000 / area = 2330.5 (difference 0.5, rounding).</t>
  </si>
  <si>
    <t xml:space="preserve">Published yield 2202 kg/ha vs production x 1000 / area = 2201.3 (difference 0.7, rounding).</t>
  </si>
  <si>
    <t xml:space="preserve">Value taken from the prior-year column of the Rabi Crops Estimates 2021-22 report. Published yield 2787 kg/ha vs production x 1000 / area = 2787.9 (difference -0.9, rounding).</t>
  </si>
  <si>
    <t xml:space="preserve">Published yield 2640 kg/ha vs production x 1000 / area = 2640.1 (difference -0.1, rounding).</t>
  </si>
  <si>
    <t xml:space="preserve">Published yield 2892 kg/ha vs production x 1000 / area = 2892.1 (difference -0.1, rounding).</t>
  </si>
  <si>
    <t xml:space="preserve">Value taken from the prior-year column of the Rabi Crops Estimates 2011-12 report. Published yield 1314 kg/ha vs production x 1000 / area = 1314.2 (difference -0.2, rounding).</t>
  </si>
  <si>
    <t xml:space="preserve">Published yield 927 kg/ha vs production x 1000 / area = 926.9 (difference 0.1, rounding).</t>
  </si>
  <si>
    <t xml:space="preserve">Value taken from the prior-year column of the Rabi Crop Estimates Data Book 2013-14 report. Published yield 1626 kg/ha vs production x 1000 / area = 1625.8 (difference 0.2, rounding). Cross-check vs AMIS Punjab - District Wise Data of Wheat 2012-14 &lt;http://www.amis.pk/Agristatistics/DistrictWise/2012-2014/Wheat.html&gt;: area 117,800 ha, production 191,500 t (area diff +40 ha, production diff +50 t).</t>
  </si>
  <si>
    <t xml:space="preserve">Published yield 1312 kg/ha vs production x 1000 / area = 1311.5 (difference 0.5, rounding). Cross-check vs AMIS Punjab - District Wise Data of Wheat 2012-14 &lt;http://www.amis.pk/Agristatistics/DistrictWise/2012-2014/Wheat.html&gt;: area 120,200 ha, production 157,600 t (area diff +10 ha, production diff -30 t).</t>
  </si>
  <si>
    <t xml:space="preserve">Value taken from the prior-year column of the Rabi Book 2015-16 report. Published yield 1656 kg/ha vs production x 1000 / area = 1656.4 (difference -0.4, rounding).</t>
  </si>
  <si>
    <t xml:space="preserve">The source prints a total yield of 1845 kg/ha, but the same row's printed area and production give 1800.5 kg/ha (difference 44.5). The row's own irrigated and un-irrigated yields agree with production/area, and the district sums match the printed provincial totals, so the printed total-yield cell is the inconsistent one. Yield is therefore calculated = production (t) x 1000 / area (ha); the printed value is kept here for reference.</t>
  </si>
  <si>
    <t xml:space="preserve">Value taken from the prior-year column of the Final Rabi Estimates 2017-18 report. Published yield 1242 kg/ha vs production x 1000 / area = 1242.4 (difference -0.4, rounding).</t>
  </si>
  <si>
    <t xml:space="preserve">Published yield 1112 kg/ha vs production x 1000 / area = 1112.7 (difference -0.7, rounding).</t>
  </si>
  <si>
    <t xml:space="preserve">Published yield 1336 kg/ha vs production x 1000 / area = 1336.5 (difference -0.5, rounding).</t>
  </si>
  <si>
    <t xml:space="preserve">Value taken from the prior-year column of the Rabi Crops Estimates 2021-22 report. Published yield 1682 kg/ha vs production x 1000 / area = 1682.4 (difference -0.4, rounding).</t>
  </si>
  <si>
    <t xml:space="preserve">Published yield 1673 kg/ha vs production x 1000 / area = 1674.2 (difference -1.2, rounding).</t>
  </si>
  <si>
    <t xml:space="preserve">Published yield 1771 kg/ha vs production x 1000 / area = 1770.8 (difference 0.2, rounding). District boundary change: from 2022-23 the CRS tables report Talagang separately, so this district's area/production are smaller than in earlier seasons.</t>
  </si>
  <si>
    <t xml:space="preserve">Value taken from the prior-year column of the Rabi Crops Estimates 2011-12 report. Published yield 3111 kg/ha vs production x 1000 / area = 3110.8 (difference 0.2, rounding).</t>
  </si>
  <si>
    <t xml:space="preserve">Published yield 3077 kg/ha vs production x 1000 / area = 3077.0 (difference 0.0, rounding).</t>
  </si>
  <si>
    <t xml:space="preserve">Value taken from the prior-year column of the Rabi Crop Estimates Data Book 2013-14 report. Published yield 3117 kg/ha vs production x 1000 / area = 3116.5 (difference 0.5, rounding). Cross-check vs AMIS Punjab - District Wise Data of Wheat 2012-14 &lt;http://www.amis.pk/Agristatistics/DistrictWise/2012-2014/Wheat.html&gt;: area 95,900 ha, production 298,900 t (area diff -10 ha, production diff +0 t).</t>
  </si>
  <si>
    <t xml:space="preserve">Published yield 3145 kg/ha vs production x 1000 / area = 3145.0 (difference -0.0, rounding). Cross-check vs AMIS Punjab - District Wise Data of Wheat 2012-14 &lt;http://www.amis.pk/Agristatistics/DistrictWise/2012-2014/Wheat.html&gt;: area 119,800 ha, production 376,700 t (area diff +10 ha, production diff -40 t).</t>
  </si>
  <si>
    <t xml:space="preserve">Value taken from the prior-year column of the Rabi Book 2015-16 report. Published yield 2904 kg/ha vs production x 1000 / area = 2904.2 (difference -0.2, rounding).</t>
  </si>
  <si>
    <t xml:space="preserve">Published yield 2930 kg/ha vs production x 1000 / area = 2930.2 (difference -0.2, rounding).</t>
  </si>
  <si>
    <t xml:space="preserve">Value taken from the prior-year column of the Final Rabi Estimates 2017-18 report. Published yield 3062 kg/ha vs production x 1000 / area = 3062.2 (difference -0.2, rounding).</t>
  </si>
  <si>
    <t xml:space="preserve">Published yield 2976 kg/ha vs production x 1000 / area = 2976.4 (difference -0.4, rounding).</t>
  </si>
  <si>
    <t xml:space="preserve">Published yield 2896 kg/ha vs production x 1000 / area = 2896.0 (difference -0.0, rounding).</t>
  </si>
  <si>
    <t xml:space="preserve">Value taken from the prior-year column of the Rabi Crops Estimates 2021-22 report. Published yield 3333 kg/ha vs production x 1000 / area = 3333.2 (difference -0.2, rounding).</t>
  </si>
  <si>
    <t xml:space="preserve">Published yield 3432 kg/ha vs production x 1000 / area = 3431.8 (difference 0.2, rounding).</t>
  </si>
  <si>
    <t xml:space="preserve">Published yield 3742 kg/ha vs production x 1000 / area = 3743.6 (difference -1.6, rounding).</t>
  </si>
  <si>
    <t xml:space="preserve">Value taken from the prior-year column of the Rabi Crops Estimates 2011-12 report. Published yield 2645 kg/ha vs production x 1000 / area = 2645.6 (difference -0.6, rounding).</t>
  </si>
  <si>
    <t xml:space="preserve">Published yield 2660 kg/ha vs production x 1000 / area = 2660.2 (difference -0.2, rounding).</t>
  </si>
  <si>
    <t xml:space="preserve">Value taken from the prior-year column of the Rabi Crop Estimates Data Book 2013-14 report. Published yield 2850 kg/ha vs production x 1000 / area = 2850.2 (difference -0.2, rounding). Cross-check vs AMIS Punjab - District Wise Data of Wheat 2012-14 &lt;http://www.amis.pk/Agristatistics/DistrictWise/2012-2014/Wheat.html&gt;: area 165,600 ha, production 471,700 t (area diff +90 ha, production diff -40 t).</t>
  </si>
  <si>
    <t xml:space="preserve">Published yield 2915 kg/ha vs production x 1000 / area = 2914.8 (difference 0.2, rounding). Cross-check vs AMIS Punjab - District Wise Data of Wheat 2012-14 &lt;http://www.amis.pk/Agristatistics/DistrictWise/2012-2014/Wheat.html&gt;: area 176,900 ha, production 515,500 t (area diff +50 ha, production diff +20 t).</t>
  </si>
  <si>
    <t xml:space="preserve">Value taken from the prior-year column of the Rabi Book 2015-16 report. Published yield 2985 kg/ha vs production x 1000 / area = 2984.6 (difference 0.4, rounding).</t>
  </si>
  <si>
    <t xml:space="preserve">The source prints a total yield of 2784 kg/ha, but the same row's printed area and production give 2762.8 kg/ha (difference 21.2). The row's own irrigated and un-irrigated yields agree with production/area, and the district sums match the printed provincial totals, so the printed total-yield cell is the inconsistent one. Yield is therefore calculated = production (t) x 1000 / area (ha); the printed value is kept here for reference.</t>
  </si>
  <si>
    <t xml:space="preserve">Value taken from the prior-year column of the Final Rabi Estimates 2017-18 report. Published yield 3216 kg/ha vs production x 1000 / area = 3216.3 (difference -0.3, rounding).</t>
  </si>
  <si>
    <t xml:space="preserve">Published yield 3034 kg/ha vs production x 1000 / area = 3035.0 (difference -1.0, rounding).</t>
  </si>
  <si>
    <t xml:space="preserve">Published yield 2864 kg/ha vs production x 1000 / area = 2863.4 (difference 0.6, rounding).</t>
  </si>
  <si>
    <t xml:space="preserve">Value taken from the prior-year column of the Rabi Crops Estimates 2021-22 report. Published yield 3256 kg/ha vs production x 1000 / area = 3255.9 (difference 0.1, rounding).</t>
  </si>
  <si>
    <t xml:space="preserve">Published yield 3175 kg/ha vs production x 1000 / area = 3174.9 (difference 0.1, rounding).</t>
  </si>
  <si>
    <t xml:space="preserve">Published yield 3353 kg/ha vs production x 1000 / area = 3352.2 (difference 0.8, rounding).</t>
  </si>
  <si>
    <t xml:space="preserve">Value taken from the prior-year column of the Rabi Crops Estimates 2011-12 report. Published yield 3164 kg/ha vs production x 1000 / area = 3163.6 (difference 0.4, rounding).</t>
  </si>
  <si>
    <t xml:space="preserve">Published yield 3043 kg/ha vs production x 1000 / area = 3042.8 (difference 0.2, rounding).</t>
  </si>
  <si>
    <t xml:space="preserve">Value taken from the prior-year column of the Rabi Crop Estimates Data Book 2013-14 report. Published yield 3120 kg/ha vs production x 1000 / area = 3120.3 (difference -0.3, rounding). Cross-check vs AMIS Punjab - District Wise Data of Wheat 2012-14 &lt;http://www.amis.pk/Agristatistics/DistrictWise/2012-2014/Wheat.html&gt;: area 277,200 ha, production 864,900 t (area diff +0 ha, production diff -40 t).</t>
  </si>
  <si>
    <t xml:space="preserve">Published yield 3151 kg/ha vs production x 1000 / area = 3150.6 (difference 0.4, rounding). Cross-check vs AMIS Punjab - District Wise Data of Wheat 2012-14 &lt;http://www.amis.pk/Agristatistics/DistrictWise/2012-2014/Wheat.html&gt;: area 301,500 ha, production 949,900 t (area diff +10 ha, production diff +20 t).</t>
  </si>
  <si>
    <t xml:space="preserve">Value taken from the prior-year column of the Rabi Book 2015-16 report. Published yield 3200 kg/ha vs production x 1000 / area = 3199.6 (difference 0.4, rounding).</t>
  </si>
  <si>
    <t xml:space="preserve">Published yield 3142 kg/ha vs production x 1000 / area = 3142.4 (difference -0.4, rounding).</t>
  </si>
  <si>
    <t xml:space="preserve">Value taken from the prior-year column of the Final Rabi Estimates 2017-18 report. Published yield 3278 kg/ha vs production x 1000 / area = 3277.9 (difference 0.1, rounding).</t>
  </si>
  <si>
    <t xml:space="preserve">Published yield 3206 kg/ha vs production x 1000 / area = 3206.0 (difference 0.0, rounding).</t>
  </si>
  <si>
    <t xml:space="preserve">Published yield 3130 kg/ha vs production x 1000 / area = 3130.4 (difference -0.4, rounding).</t>
  </si>
  <si>
    <t xml:space="preserve">Value taken from the prior-year column of the Rabi Crops Estimates 2021-22 report. Published yield 3318 kg/ha vs production x 1000 / area = 3318.2 (difference -0.2, rounding).</t>
  </si>
  <si>
    <t xml:space="preserve">Published yield 3276 kg/ha vs production x 1000 / area = 3275.7 (difference 0.3, rounding).</t>
  </si>
  <si>
    <t xml:space="preserve">Published yield 3659 kg/ha vs production x 1000 / area = 3658.9 (difference 0.1, rounding).</t>
  </si>
  <si>
    <t xml:space="preserve">Value taken from the prior-year column of the Rabi Crops Estimates 2011-12 report. Published yield 3144 kg/ha vs production x 1000 / area = 3143.8 (difference 0.2, rounding).</t>
  </si>
  <si>
    <t xml:space="preserve">Published yield 3484 kg/ha vs production x 1000 / area = 3483.6 (difference 0.4, rounding).</t>
  </si>
  <si>
    <t xml:space="preserve">Value taken from the prior-year column of the Rabi Crop Estimates Data Book 2013-14 report. Published yield 3164 kg/ha vs production x 1000 / area = 3163.6 (difference 0.4, rounding). Cross-check vs AMIS Punjab - District Wise Data of Wheat 2012-14 &lt;http://www.amis.pk/Agristatistics/DistrictWise/2012-2014/Wheat.html&gt;: area 232,700 ha, production 736,100 t (area diff +10 ha, production diff -30 t).</t>
  </si>
  <si>
    <t xml:space="preserve">Published yield 3172 kg/ha vs production x 1000 / area = 3171.6 (difference 0.4, rounding). Cross-check vs AMIS Punjab - District Wise Data of Wheat 2012-14 &lt;http://www.amis.pk/Agristatistics/DistrictWise/2012-2014/Wheat.html&gt;: area 238,300 ha, production 756,000 t (area diff -60 ha, production diff +10 t).</t>
  </si>
  <si>
    <t xml:space="preserve">Value taken from the prior-year column of the Rabi Book 2015-16 report. Published yield 2717 kg/ha vs production x 1000 / area = 2717.5 (difference -0.5, rounding).</t>
  </si>
  <si>
    <t xml:space="preserve">The source prints a total yield of 2960 kg/ha, but the same row's printed area and production give 2957.1 kg/ha (difference 2.9). The row's own irrigated and un-irrigated yields agree with production/area, and the district sums match the printed provincial totals, so the printed total-yield cell is the inconsistent one. Yield is therefore calculated = production (t) x 1000 / area (ha); the printed value is kept here for reference.</t>
  </si>
  <si>
    <t xml:space="preserve">Value taken from the prior-year column of the Final Rabi Estimates 2017-18 report. Published yield 3001 kg/ha vs production x 1000 / area = 3001.1 (difference -0.1, rounding).</t>
  </si>
  <si>
    <t xml:space="preserve">Published yield 3162 kg/ha vs production x 1000 / area = 3161.7 (difference 0.3, rounding).</t>
  </si>
  <si>
    <t xml:space="preserve">Published yield 2647 kg/ha vs production x 1000 / area = 2647.1 (difference -0.1, rounding).</t>
  </si>
  <si>
    <t xml:space="preserve">Value taken from the prior-year column of the Rabi Crops Estimates 2021-22 report. Published yield 3176 kg/ha vs production x 1000 / area = 3175.8 (difference 0.2, rounding).</t>
  </si>
  <si>
    <t xml:space="preserve">Published yield 2970 kg/ha vs production x 1000 / area = 2970.2 (difference -0.2, rounding).</t>
  </si>
  <si>
    <t xml:space="preserve">Published yield 3356 kg/ha vs production x 1000 / area = 3355.5 (difference 0.5, rounding). District boundary change: from 2022-23 the CRS tables report Wazirabad separately, so this district's area/production are smaller than in earlier seasons.</t>
  </si>
  <si>
    <t xml:space="preserve">Value taken from the prior-year column of the Rabi Crops Estimates 2011-12 report. Published yield 1906 kg/ha vs production x 1000 / area = 1906.2 (difference -0.2, rounding).</t>
  </si>
  <si>
    <t xml:space="preserve">Published yield 1765 kg/ha vs production x 1000 / area = 1765.3 (difference -0.3, rounding).</t>
  </si>
  <si>
    <t xml:space="preserve">Value taken from the prior-year column of the Rabi Crop Estimates Data Book 2013-14 report. Published yield 1927 kg/ha vs production x 1000 / area = 1926.9 (difference 0.1, rounding). Cross-check vs AMIS Punjab - District Wise Data of Wheat 2012-14 &lt;http://www.amis.pk/Agristatistics/DistrictWise/2012-2014/Wheat.html&gt;: area 151,000 ha, production 290,900 t (area diff +60 ha, production diff +50 t).</t>
  </si>
  <si>
    <t xml:space="preserve">Published yield 1786 kg/ha vs production x 1000 / area = 1786.1 (difference -0.1, rounding). Cross-check vs AMIS Punjab - District Wise Data of Wheat 2012-14 &lt;http://www.amis.pk/Agristatistics/DistrictWise/2012-2014/Wheat.html&gt;: area 154,200 ha, production 275,400 t (area diff +20 ha, production diff +20 t).</t>
  </si>
  <si>
    <t xml:space="preserve">Value taken from the prior-year column of the Rabi Book 2015-16 report. Published yield 1537 kg/ha vs production x 1000 / area = 1536.4 (difference 0.6, rounding).</t>
  </si>
  <si>
    <t xml:space="preserve">The source prints a total yield of 1700 kg/ha, but the same row's printed area and production give 1695.0 kg/ha (difference 5.0). The row's own irrigated and un-irrigated yields agree with production/area, and the district sums match the printed provincial totals, so the printed total-yield cell is the inconsistent one. Yield is therefore calculated = production (t) x 1000 / area (ha); the printed value is kept here for reference.</t>
  </si>
  <si>
    <t xml:space="preserve">Value taken from the prior-year column of the Final Rabi Estimates 2017-18 report. Published yield 1848 kg/ha vs production x 1000 / area = 1848.2 (difference -0.2, rounding).</t>
  </si>
  <si>
    <t xml:space="preserve">Published yield 2016 kg/ha vs production x 1000 / area = 2016.6 (difference -0.6, rounding).</t>
  </si>
  <si>
    <t xml:space="preserve">Published yield 1587 kg/ha vs production x 1000 / area = 1586.9 (difference 0.1, rounding).</t>
  </si>
  <si>
    <t xml:space="preserve">Value taken from the prior-year column of the Rabi Crops Estimates 2021-22 report. Published yield 2253 kg/ha vs production x 1000 / area = 2253.1 (difference -0.1, rounding).</t>
  </si>
  <si>
    <t xml:space="preserve">Published yield 2050 kg/ha vs production x 1000 / area = 2049.9 (difference 0.1, rounding).</t>
  </si>
  <si>
    <t xml:space="preserve">Published yield 2279 kg/ha vs production x 1000 / area = 2279.8 (difference -0.8, rounding).</t>
  </si>
  <si>
    <t xml:space="preserve">Value taken from the prior-year column of the Rabi Crops Estimates 2011-12 report. Published yield 3182 kg/ha vs production x 1000 / area = 3182.0 (difference 0.0, rounding).</t>
  </si>
  <si>
    <t xml:space="preserve">Published yield 3089 kg/ha vs production x 1000 / area = 3088.8 (difference 0.2, rounding).</t>
  </si>
  <si>
    <t xml:space="preserve">Value taken from the prior-year column of the Rabi Crop Estimates Data Book 2013-14 report. Published yield 3043 kg/ha vs production x 1000 / area = 3042.7 (difference 0.3, rounding). Cross-check vs AMIS Punjab - District Wise Data of Wheat 2012-14 &lt;http://www.amis.pk/Agristatistics/DistrictWise/2012-2014/Wheat.html&gt;: area 155,400 ha, production 472,800 t (area diff +0 ha, production diff -30 t).</t>
  </si>
  <si>
    <t xml:space="preserve">Published yield 3085 kg/ha vs production x 1000 / area = 3085.3 (difference -0.3, rounding). Cross-check vs AMIS Punjab - District Wise Data of Wheat 2012-14 &lt;http://www.amis.pk/Agristatistics/DistrictWise/2012-2014/Wheat.html&gt;: area 157,800 ha, production 486,900 t (area diff -20 ha, production diff -20 t).</t>
  </si>
  <si>
    <t xml:space="preserve">Value taken from the prior-year column of the Rabi Book 2015-16 report. Published yield 3059 kg/ha vs production x 1000 / area = 3059.3 (difference -0.3, rounding).</t>
  </si>
  <si>
    <t xml:space="preserve">Published yield 3069 kg/ha vs production x 1000 / area = 3068.5 (difference 0.5, rounding).</t>
  </si>
  <si>
    <t xml:space="preserve">Value taken from the prior-year column of the Final Rabi Estimates 2017-18 report. Published yield 3390 kg/ha vs production x 1000 / area = 3390.5 (difference -0.5, rounding).</t>
  </si>
  <si>
    <t xml:space="preserve">Published yield 3475 kg/ha vs production x 1000 / area = 3475.3 (difference -0.3, rounding).</t>
  </si>
  <si>
    <t xml:space="preserve">Published yield 2990 kg/ha vs production x 1000 / area = 2990.3 (difference -0.3, rounding).</t>
  </si>
  <si>
    <t xml:space="preserve">Value taken from the prior-year column of the Rabi Crops Estimates 2021-22 report. Published yield 3601 kg/ha vs production x 1000 / area = 3601.0 (difference 0.0, rounding).</t>
  </si>
  <si>
    <t xml:space="preserve">Published yield 3293 kg/ha vs production x 1000 / area = 3293.5 (difference -0.5, rounding).</t>
  </si>
  <si>
    <t xml:space="preserve">Published yield 3945 kg/ha vs production x 1000 / area = 3946.3 (difference -1.3, rounding).</t>
  </si>
  <si>
    <t xml:space="preserve">Value taken from the prior-year column of the Rabi Crops Estimates 2011-12 report. Published yield 2932 kg/ha vs production x 1000 / area = 2932.0 (difference -0.0, rounding).</t>
  </si>
  <si>
    <t xml:space="preserve">Published yield 2833 kg/ha vs production x 1000 / area = 2833.4 (difference -0.4, rounding).</t>
  </si>
  <si>
    <t xml:space="preserve">Value taken from the prior-year column of the Rabi Crop Estimates Data Book 2013-14 report. Published yield 2970 kg/ha vs production x 1000 / area = 2969.7 (difference 0.3, rounding). Cross-check vs AMIS Punjab - District Wise Data of Wheat 2012-14 &lt;http://www.amis.pk/Agristatistics/DistrictWise/2012-2014/Wheat.html&gt;: area 259,800 ha, production 771,500 t (area diff +0 ha, production diff -30 t).</t>
  </si>
  <si>
    <t xml:space="preserve">Published yield 3051 kg/ha vs production x 1000 / area = 3050.8 (difference 0.2, rounding). Cross-check vs AMIS Punjab - District Wise Data of Wheat 2012-14 &lt;http://www.amis.pk/Agristatistics/DistrictWise/2012-2014/Wheat.html&gt;: area 293,000 ha, production 893,800 t (area diff +20 ha, production diff -10 t).</t>
  </si>
  <si>
    <t xml:space="preserve">Value taken from the prior-year column of the Rabi Book 2015-16 report. Published yield 3073 kg/ha vs production x 1000 / area = 3073.2 (difference -0.2, rounding).</t>
  </si>
  <si>
    <t xml:space="preserve">The source prints a total yield of 2895 kg/ha, but the same row's printed area and production give 2892.4 kg/ha (difference 2.6). The row's own irrigated and un-irrigated yields agree with production/area, and the district sums match the printed provincial totals, so the printed total-yield cell is the inconsistent one. Yield is therefore calculated = production (t) x 1000 / area (ha); the printed value is kept here for reference.</t>
  </si>
  <si>
    <t xml:space="preserve">Value taken from the prior-year column of the Final Rabi Estimates 2017-18 report. Published yield 3179 kg/ha vs production x 1000 / area = 3179.6 (difference -0.6, rounding).</t>
  </si>
  <si>
    <t xml:space="preserve">Published yield 3153 kg/ha vs production x 1000 / area = 3153.6 (difference -0.6, rounding).</t>
  </si>
  <si>
    <t xml:space="preserve">Published yield 3136 kg/ha vs production x 1000 / area = 3136.0 (difference 0.0, rounding).</t>
  </si>
  <si>
    <t xml:space="preserve">Value taken from the prior-year column of the Rabi Crops Estimates 2021-22 report. Published yield 3310 kg/ha vs production x 1000 / area = 3310.5 (difference -0.5, rounding).</t>
  </si>
  <si>
    <t xml:space="preserve">Published yield 3170 kg/ha vs production x 1000 / area = 3169.9 (difference 0.1, rounding).</t>
  </si>
  <si>
    <t xml:space="preserve">Published yield 3547 kg/ha vs production x 1000 / area = 3547.1 (difference -0.1, rounding).</t>
  </si>
  <si>
    <t xml:space="preserve">Value taken from the prior-year column of the Rabi Crops Estimates 2011-12 report. Published yield 1892 kg/ha vs production x 1000 / area = 1891.8 (difference 0.2, rounding).</t>
  </si>
  <si>
    <t xml:space="preserve">Published yield 1388 kg/ha vs production x 1000 / area = 1388.1 (difference -0.1, rounding).</t>
  </si>
  <si>
    <t xml:space="preserve">Value taken from the prior-year column of the Rabi Crop Estimates Data Book 2013-14 report. Published yield 1799 kg/ha vs production x 1000 / area = 1799.5 (difference -0.5, rounding). Cross-check vs AMIS Punjab - District Wise Data of Wheat 2012-14 &lt;http://www.amis.pk/Agristatistics/DistrictWise/2012-2014/Wheat.html&gt;: area 49,400 ha, production 88,800 t (area diff +30 ha, production diff -40 t).</t>
  </si>
  <si>
    <t xml:space="preserve">Published yield 1632 kg/ha vs production x 1000 / area = 1632.1 (difference -0.1, rounding). Cross-check vs AMIS Punjab - District Wise Data of Wheat 2012-14 &lt;http://www.amis.pk/Agristatistics/DistrictWise/2012-2014/Wheat.html&gt;: area 53,800 ha, production 87,800 t (area diff -20 ha, production diff -40 t).</t>
  </si>
  <si>
    <t xml:space="preserve">Value taken from the prior-year column of the Rabi Book 2015-16 report. Published yield 1985 kg/ha vs production x 1000 / area = 1985.1 (difference -0.1, rounding).</t>
  </si>
  <si>
    <t xml:space="preserve">The source prints a total yield of 2222 kg/ha, but the same row's printed area and production give 2248.0 kg/ha (difference -26.0). The row's own irrigated and un-irrigated yields agree with production/area, and the district sums match the printed provincial totals, so the printed total-yield cell is the inconsistent one. Yield is therefore calculated = production (t) x 1000 / area (ha); the printed value is kept here for reference.</t>
  </si>
  <si>
    <t xml:space="preserve">Value taken from the prior-year column of the Final Rabi Estimates 2017-18 report. Published yield 1787 kg/ha vs production x 1000 / area = 1787.6 (difference -0.6, rounding).</t>
  </si>
  <si>
    <t xml:space="preserve">Published yield 1524 kg/ha vs production x 1000 / area = 1523.6 (difference 0.4, rounding).</t>
  </si>
  <si>
    <t xml:space="preserve">Published yield 1593 kg/ha vs production x 1000 / area = 1593.0 (difference -0.0, rounding).</t>
  </si>
  <si>
    <t xml:space="preserve">Value taken from the prior-year column of the Rabi Crops Estimates 2021-22 report. Published yield 1431 kg/ha vs production x 1000 / area = 1431.6 (difference -0.6, rounding).</t>
  </si>
  <si>
    <t xml:space="preserve">Published yield 1970 kg/ha vs production x 1000 / area = 1969.5 (difference 0.5, rounding).</t>
  </si>
  <si>
    <t xml:space="preserve">Published yield 2270 kg/ha vs production x 1000 / area = 2270.5 (difference -0.5, rounding).</t>
  </si>
  <si>
    <t xml:space="preserve">Value taken from the prior-year column of the Rabi Crops Estimates 2011-12 report. Published yield 3086 kg/ha vs production x 1000 / area = 3086.2 (difference -0.2, rounding).</t>
  </si>
  <si>
    <t xml:space="preserve">Published yield 3099 kg/ha vs production x 1000 / area = 3099.0 (difference -0.0, rounding).</t>
  </si>
  <si>
    <t xml:space="preserve">Value taken from the prior-year column of the Rabi Crop Estimates Data Book 2013-14 report. Published yield 2998 kg/ha vs production x 1000 / area = 2998.4 (difference -0.4, rounding). Cross-check vs AMIS Punjab - District Wise Data of Wheat 2012-14 &lt;http://www.amis.pk/Agristatistics/DistrictWise/2012-2014/Wheat.html&gt;: area 178,900 ha, production 536,300 t (area diff +30 ha, production diff -30 t).</t>
  </si>
  <si>
    <t xml:space="preserve">Published yield 3010 kg/ha vs production x 1000 / area = 3009.7 (difference 0.3, rounding). Cross-check vs AMIS Punjab - District Wise Data of Wheat 2012-14 &lt;http://www.amis.pk/Agristatistics/DistrictWise/2012-2014/Wheat.html&gt;: area 182,100 ha, production 548,100 t (area diff +0 ha, production diff +40 t).</t>
  </si>
  <si>
    <t xml:space="preserve">Value taken from the prior-year column of the Rabi Book 2015-16 report. Published yield 3069 kg/ha vs production x 1000 / area = 3069.7 (difference -0.7, rounding).</t>
  </si>
  <si>
    <t xml:space="preserve">The source prints a total yield of 2901 kg/ha, but the same row's printed area and production give 2897.0 kg/ha (difference 4.0). The row's own irrigated and un-irrigated yields agree with production/area, and the district sums match the printed provincial totals, so the printed total-yield cell is the inconsistent one. Yield is therefore calculated = production (t) x 1000 / area (ha); the printed value is kept here for reference.</t>
  </si>
  <si>
    <t xml:space="preserve">Value taken from the prior-year column of the Final Rabi Estimates 2017-18 report. Published yield 3204 kg/ha vs production x 1000 / area = 3204.1 (difference -0.1, rounding).</t>
  </si>
  <si>
    <t xml:space="preserve">Published yield 3163 kg/ha vs production x 1000 / area = 3162.7 (difference 0.3, rounding).</t>
  </si>
  <si>
    <t xml:space="preserve">Published yield 2887 kg/ha vs production x 1000 / area = 2886.9 (difference 0.1, rounding).</t>
  </si>
  <si>
    <t xml:space="preserve">Value taken from the prior-year column of the Rabi Crops Estimates 2021-22 report. Published yield 3496 kg/ha vs production x 1000 / area = 3496.1 (difference -0.1, rounding).</t>
  </si>
  <si>
    <t xml:space="preserve">Published yield 3127 kg/ha vs production x 1000 / area = 3127.5 (difference -0.5, rounding).</t>
  </si>
  <si>
    <t xml:space="preserve">Published yield 3407 kg/ha vs production x 1000 / area = 3406.3 (difference 0.7, rounding).</t>
  </si>
  <si>
    <t xml:space="preserve">Value taken from the prior-year column of the Rabi Crops Estimates 2011-12 report. Published yield 3089 kg/ha vs production x 1000 / area = 3088.7 (difference 0.3, rounding).</t>
  </si>
  <si>
    <t xml:space="preserve">Published yield 2937 kg/ha vs production x 1000 / area = 2936.5 (difference 0.5, rounding).</t>
  </si>
  <si>
    <t xml:space="preserve">Value taken from the prior-year column of the Rabi Crop Estimates Data Book 2013-14 report. Published yield 3105 kg/ha vs production x 1000 / area = 3104.6 (difference 0.4, rounding). Cross-check vs AMIS Punjab - District Wise Data of Wheat 2012-14 &lt;http://www.amis.pk/Agristatistics/DistrictWise/2012-2014/Wheat.html&gt;: area 202,700 ha, production 629,400 t (area diff -40 ha, production diff -20 t).</t>
  </si>
  <si>
    <t xml:space="preserve">Published yield 3170 kg/ha vs production x 1000 / area = 3170.3 (difference -0.3, rounding). Cross-check vs AMIS Punjab - District Wise Data of Wheat 2012-14 &lt;http://www.amis.pk/Agristatistics/DistrictWise/2012-2014/Wheat.html&gt;: area 215,300 ha, production 682,500 t (area diff +10 ha, production diff -30 t).</t>
  </si>
  <si>
    <t xml:space="preserve">Value taken from the prior-year column of the Rabi Book 2015-16 report. Published yield 3153 kg/ha vs production x 1000 / area = 3153.4 (difference -0.4, rounding).</t>
  </si>
  <si>
    <t xml:space="preserve">The source prints a total yield of 3201 kg/ha, but the same row's printed area and production give 3216.6 kg/ha (difference -15.6). The row's own irrigated and un-irrigated yields agree with production/area, and the district sums match the printed provincial totals, so the printed total-yield cell is the inconsistent one. Yield is therefore calculated = production (t) x 1000 / area (ha); the printed value is kept here for reference.</t>
  </si>
  <si>
    <t xml:space="preserve">Value taken from the prior-year column of the Final Rabi Estimates 2017-18 report. Published yield 3762 kg/ha vs production x 1000 / area = 3761.7 (difference 0.3, rounding).</t>
  </si>
  <si>
    <t xml:space="preserve">Published yield 3472 kg/ha vs production x 1000 / area = 3471.5 (difference 0.5, rounding).</t>
  </si>
  <si>
    <t xml:space="preserve">Published yield 3123 kg/ha vs production x 1000 / area = 3123.0 (difference -0.0, rounding).</t>
  </si>
  <si>
    <t xml:space="preserve">Value taken from the prior-year column of the Rabi Crops Estimates 2021-22 report. Published yield 3338 kg/ha vs production x 1000 / area = 3338.0 (difference 0.0, rounding).</t>
  </si>
  <si>
    <t xml:space="preserve">Published yield 3690 kg/ha vs production x 1000 / area = 3689.9 (difference 0.1, rounding).</t>
  </si>
  <si>
    <t xml:space="preserve">Published yield 3742 kg/ha vs production x 1000 / area = 3741.1 (difference 0.9, rounding).</t>
  </si>
  <si>
    <t xml:space="preserve">Value taken from the prior-year column of the Rabi Crops Estimates 2011-12 report. Published yield 2012 kg/ha vs production x 1000 / area = 2012.8 (difference -0.8, rounding).</t>
  </si>
  <si>
    <t xml:space="preserve">Published yield 1688 kg/ha vs production x 1000 / area = 1687.8 (difference 0.2, rounding).</t>
  </si>
  <si>
    <t xml:space="preserve">Value taken from the prior-year column of the Rabi Crop Estimates Data Book 2013-14 report. Published yield 1916 kg/ha vs production x 1000 / area = 1915.7 (difference 0.3, rounding). Cross-check vs AMIS Punjab - District Wise Data of Wheat 2012-14 &lt;http://www.amis.pk/Agristatistics/DistrictWise/2012-2014/Wheat.html&gt;: area 87,400 ha, production 167,500 t (area diff -10 ha, production diff +50 t).</t>
  </si>
  <si>
    <t xml:space="preserve">Published yield 1656 kg/ha vs production x 1000 / area = 1655.8 (difference 0.2, rounding). Cross-check vs AMIS Punjab - District Wise Data of Wheat 2012-14 &lt;http://www.amis.pk/Agristatistics/DistrictWise/2012-2014/Wheat.html&gt;: area 89,900 ha, production 148,800 t (area diff +60 ha, production diff +40 t).</t>
  </si>
  <si>
    <t xml:space="preserve">Value taken from the prior-year column of the Rabi Book 2015-16 report. Published yield 1850 kg/ha vs production x 1000 / area = 1850.0 (difference -0.0, rounding).</t>
  </si>
  <si>
    <t xml:space="preserve">The source prints a total yield of 1999 kg/ha, but the same row's printed area and production give 1970.7 kg/ha (difference 28.3). The row's own irrigated and un-irrigated yields agree with production/area, and the district sums match the printed provincial totals, so the printed total-yield cell is the inconsistent one. Yield is therefore calculated = production (t) x 1000 / area (ha); the printed value is kept here for reference.</t>
  </si>
  <si>
    <t xml:space="preserve">Value taken from the prior-year column of the Final Rabi Estimates 2017-18 report. Published yield 2143 kg/ha vs production x 1000 / area = 2142.8 (difference 0.2, rounding).</t>
  </si>
  <si>
    <t xml:space="preserve">Published yield 2058 kg/ha vs production x 1000 / area = 2057.9 (difference 0.1, rounding).</t>
  </si>
  <si>
    <t xml:space="preserve">Published yield 1768 kg/ha vs production x 1000 / area = 1768.2 (difference -0.2, rounding).</t>
  </si>
  <si>
    <t xml:space="preserve">Value taken from the prior-year column of the Rabi Crops Estimates 2021-22 report. Published yield 2250 kg/ha vs production x 1000 / area = 2249.7 (difference 0.3, rounding).</t>
  </si>
  <si>
    <t xml:space="preserve">Published yield 2069 kg/ha vs production x 1000 / area = 2068.6 (difference 0.4, rounding).</t>
  </si>
  <si>
    <t xml:space="preserve">Published yield 2363 kg/ha vs production x 1000 / area = 2364.2 (difference -1.2, rounding).</t>
  </si>
  <si>
    <t xml:space="preserve">Published yield 2899 kg/ha vs production x 1000 / area = 2898.0 (difference 1.0, rounding).</t>
  </si>
  <si>
    <t xml:space="preserve">Value taken from the prior-year column of the Rabi Crops Estimates 2011-12 report. Published yield 2870 kg/ha vs production x 1000 / area = 2870.3 (difference -0.3, rounding).</t>
  </si>
  <si>
    <t xml:space="preserve">Published yield 3000 kg/ha vs production x 1000 / area = 3000.3 (difference -0.3, rounding).</t>
  </si>
  <si>
    <t xml:space="preserve">Value taken from the prior-year column of the Rabi Crop Estimates Data Book 2013-14 report. Published yield 3084 kg/ha vs production x 1000 / area = 3084.2 (difference -0.2, rounding). Cross-check vs AMIS Punjab - District Wise Data of Wheat 2012-14 &lt;http://www.amis.pk/Agristatistics/DistrictWise/2012-2014/Wheat.html&gt;: area 57,400 ha, production 177,300 t (area diff -70 ha, production diff +50 t).</t>
  </si>
  <si>
    <t xml:space="preserve">Published yield 2925 kg/ha vs production x 1000 / area = 2924.9 (difference 0.1, rounding). Cross-check vs AMIS Punjab - District Wise Data of Wheat 2012-14 &lt;http://www.amis.pk/Agristatistics/DistrictWise/2012-2014/Wheat.html&gt;: area 59,500 ha, production 174,000 t (area diff +10 ha, production diff +0 t).</t>
  </si>
  <si>
    <t xml:space="preserve">Value taken from the prior-year column of the Rabi Book 2015-16 report. Published yield 2739 kg/ha vs production x 1000 / area = 2739.4 (difference -0.4, rounding).</t>
  </si>
  <si>
    <t xml:space="preserve">Published yield 2982 kg/ha vs production x 1000 / area = 2981.9 (difference 0.1, rounding).</t>
  </si>
  <si>
    <t xml:space="preserve">Value taken from the prior-year column of the Final Rabi Estimates 2017-18 report. Published yield 3152 kg/ha vs production x 1000 / area = 3152.1 (difference -0.1, rounding).</t>
  </si>
  <si>
    <t xml:space="preserve">Published yield 3119 kg/ha vs production x 1000 / area = 3119.0 (difference -0.0, rounding).</t>
  </si>
  <si>
    <t xml:space="preserve">Published yield 3150 kg/ha vs production x 1000 / area = 3150.0 (difference 0.0, rounding).</t>
  </si>
  <si>
    <t xml:space="preserve">Value taken from the prior-year column of the Rabi Crops Estimates 2021-22 report. Published yield 3210 kg/ha vs production x 1000 / area = 3210.3 (difference -0.3, rounding).</t>
  </si>
  <si>
    <t xml:space="preserve">Published yield 3435 kg/ha vs production x 1000 / area = 3434.5 (difference 0.5, rounding).</t>
  </si>
  <si>
    <t xml:space="preserve">Published yield 3490 kg/ha vs production x 1000 / area = 3492.3 (difference -2.3, rounding).</t>
  </si>
  <si>
    <t xml:space="preserve">Value taken from the prior-year column of the Rabi Crops Estimates 2011-12 report. Published yield 2818 kg/ha vs production x 1000 / area = 2817.7 (difference 0.3, rounding).</t>
  </si>
  <si>
    <t xml:space="preserve">Published yield 2382 kg/ha vs production x 1000 / area = 2382.3 (difference -0.3, rounding).</t>
  </si>
  <si>
    <t xml:space="preserve">Value taken from the prior-year column of the Rabi Crop Estimates Data Book 2013-14 report. Published yield 2615 kg/ha vs production x 1000 / area = 2614.5 (difference 0.5, rounding). Cross-check vs AMIS Punjab - District Wise Data of Wheat 2012-14 &lt;http://www.amis.pk/Agristatistics/DistrictWise/2012-2014/Wheat.html&gt;: area 190,600 ha, production 498,300 t (area diff +0 ha, production diff -30 t).</t>
  </si>
  <si>
    <t xml:space="preserve">Published yield 2711 kg/ha vs production x 1000 / area = 2710.8 (difference 0.2, rounding). Cross-check vs AMIS Punjab - District Wise Data of Wheat 2012-14 &lt;http://www.amis.pk/Agristatistics/DistrictWise/2012-2014/Wheat.html&gt;: area 216,500 ha, production 586,900 t (area diff +0 ha, production diff +20 t).</t>
  </si>
  <si>
    <t xml:space="preserve">Value taken from the prior-year column of the Rabi Book 2015-16 report. Published yield 2542 kg/ha vs production x 1000 / area = 2541.8 (difference 0.2, rounding).</t>
  </si>
  <si>
    <t xml:space="preserve">The source prints a total yield of 2528 kg/ha, but the same row's printed area and production give 2579.3 kg/ha (difference -51.3). The row's own irrigated and un-irrigated yields agree with production/area, and the district sums match the printed provincial totals, so the printed total-yield cell is the inconsistent one. Yield is therefore calculated = production (t) x 1000 / area (ha); the printed value is kept here for reference.</t>
  </si>
  <si>
    <t xml:space="preserve">Value taken from the prior-year column of the Final Rabi Estimates 2017-18 report. Published yield 3041 kg/ha vs production x 1000 / area = 3041.5 (difference -0.5, rounding).</t>
  </si>
  <si>
    <t xml:space="preserve">Published yield 2441 kg/ha vs production x 1000 / area = 2441.0 (difference -0.0, rounding).</t>
  </si>
  <si>
    <t xml:space="preserve">Published yield 2623 kg/ha vs production x 1000 / area = 2623.1 (difference -0.1, rounding).</t>
  </si>
  <si>
    <t xml:space="preserve">Value taken from the prior-year column of the Rabi Crops Estimates 2021-22 report. Published yield 2829 kg/ha vs production x 1000 / area = 2829.2 (difference -0.2, rounding).</t>
  </si>
  <si>
    <t xml:space="preserve">Published yield 2994 kg/ha vs production x 1000 / area = 2994.0 (difference 0.0, rounding).</t>
  </si>
  <si>
    <t xml:space="preserve">Published yield 3086 kg/ha vs production x 1000 / area = 3086.2 (difference -0.2, rounding).</t>
  </si>
  <si>
    <t xml:space="preserve">Value taken from the prior-year column of the Rabi Crops Estimates 2011-12 report. Published yield 3125 kg/ha vs production x 1000 / area = 3124.8 (difference 0.2, rounding).</t>
  </si>
  <si>
    <t xml:space="preserve">Published yield 3009 kg/ha vs production x 1000 / area = 3008.7 (difference 0.3, rounding).</t>
  </si>
  <si>
    <t xml:space="preserve">Value taken from the prior-year column of the Rabi Crop Estimates Data Book 2013-14 report. Published yield 3172 kg/ha vs production x 1000 / area = 3171.9 (difference 0.1, rounding). Cross-check vs AMIS Punjab - District Wise Data of Wheat 2012-14 &lt;http://www.amis.pk/Agristatistics/DistrictWise/2012-2014/Wheat.html&gt;: area 192,200 ha, production 609,700 t (area diff -20 ha, production diff -10 t).</t>
  </si>
  <si>
    <t xml:space="preserve">Published yield 3274 kg/ha vs production x 1000 / area = 3274.3 (difference -0.3, rounding). Cross-check vs AMIS Punjab - District Wise Data of Wheat 2012-14 &lt;http://www.amis.pk/Agristatistics/DistrictWise/2012-2014/Wheat.html&gt;: area 208,000 ha, production 681,200 t (area diff +0 ha, production diff +140 t).</t>
  </si>
  <si>
    <t xml:space="preserve">Value taken from the prior-year column of the Rabi Book 2015-16 report. Published yield 3122 kg/ha vs production x 1000 / area = 3122.0 (difference -0.0, rounding).</t>
  </si>
  <si>
    <t xml:space="preserve">Published yield 3387 kg/ha vs production x 1000 / area = 3386.8 (difference 0.2, rounding).</t>
  </si>
  <si>
    <t xml:space="preserve">Value taken from the prior-year column of the Final Rabi Estimates 2017-18 report. Published yield 3883 kg/ha vs production x 1000 / area = 3883.0 (difference -0.0, rounding).</t>
  </si>
  <si>
    <t xml:space="preserve">Published yield 3416 kg/ha vs production x 1000 / area = 3416.3 (difference -0.3, rounding).</t>
  </si>
  <si>
    <t xml:space="preserve">Published yield 3388 kg/ha vs production x 1000 / area = 3387.8 (difference 0.2, rounding).</t>
  </si>
  <si>
    <t xml:space="preserve">Value taken from the prior-year column of the Rabi Crops Estimates 2021-22 report. Published yield 3380 kg/ha vs production x 1000 / area = 3380.5 (difference -0.5, rounding).</t>
  </si>
  <si>
    <t xml:space="preserve">Published yield 3763 kg/ha vs production x 1000 / area = 3763.1 (difference -0.1, rounding).</t>
  </si>
  <si>
    <t xml:space="preserve">Published yield 3827 kg/ha vs production x 1000 / area = 3826.9 (difference 0.1, rounding).</t>
  </si>
  <si>
    <t xml:space="preserve">Value taken from the prior-year column of the Rabi Crops Estimates 2011-12 report. Published yield 2609 kg/ha vs production x 1000 / area = 2609.6 (difference -0.6, rounding).</t>
  </si>
  <si>
    <t xml:space="preserve">Published yield 2725 kg/ha vs production x 1000 / area = 2725.4 (difference -0.4, rounding).</t>
  </si>
  <si>
    <t xml:space="preserve">Value taken from the prior-year column of the Rabi Crop Estimates Data Book 2013-14 report. Published yield 2840 kg/ha vs production x 1000 / area = 2839.7 (difference 0.3, rounding). Cross-check vs AMIS Punjab - District Wise Data of Wheat 2012-14 &lt;http://www.amis.pk/Agristatistics/DistrictWise/2012-2014/Wheat.html&gt;: area 138,400 ha, production 393,000 t (area diff +0 ha, production diff -20 t).</t>
  </si>
  <si>
    <t xml:space="preserve">Published yield 2599 kg/ha vs production x 1000 / area = 2599.7 (difference -0.7, rounding). Cross-check vs AMIS Punjab - District Wise Data of Wheat 2012-14 &lt;http://www.amis.pk/Agristatistics/DistrictWise/2012-2014/Wheat.html&gt;: area 142,400 ha, production 370,300 t (area diff -40 ha, production diff +0 t).</t>
  </si>
  <si>
    <t xml:space="preserve">Value taken from the prior-year column of the Rabi Book 2015-16 report. Published yield 2440 kg/ha vs production x 1000 / area = 2439.5 (difference 0.5, rounding).</t>
  </si>
  <si>
    <t xml:space="preserve">Published yield 2573 kg/ha vs production x 1000 / area = 2574.1 (difference -1.1, rounding).</t>
  </si>
  <si>
    <t xml:space="preserve">Value taken from the prior-year column of the Final Rabi Estimates 2017-18 report. Published yield 3128 kg/ha vs production x 1000 / area = 3127.9 (difference 0.1, rounding).</t>
  </si>
  <si>
    <t xml:space="preserve">Published yield 2821 kg/ha vs production x 1000 / area = 2821.5 (difference -0.5, rounding).</t>
  </si>
  <si>
    <t xml:space="preserve">Published yield 2598 kg/ha vs production x 1000 / area = 2598.1 (difference -0.1, rounding).</t>
  </si>
  <si>
    <t xml:space="preserve">Value taken from the prior-year column of the Rabi Crops Estimates 2021-22 report. Published yield 3004 kg/ha vs production x 1000 / area = 3003.8 (difference 0.2, rounding).</t>
  </si>
  <si>
    <t xml:space="preserve">Published yield 2799 kg/ha vs production x 1000 / area = 2799.2 (difference -0.2, rounding).</t>
  </si>
  <si>
    <t xml:space="preserve">Published yield 3238 kg/ha vs production x 1000 / area = 3239.0 (difference -1.0, rounding).</t>
  </si>
  <si>
    <t xml:space="preserve">Value taken from the prior-year column of the Rabi Crops Estimates 2011-12 report. Published yield 2395 kg/ha vs production x 1000 / area = 2395.4 (difference -0.4, rounding).</t>
  </si>
  <si>
    <t xml:space="preserve">Published yield 2204 kg/ha vs production x 1000 / area = 2204.2 (difference -0.2, rounding).</t>
  </si>
  <si>
    <t xml:space="preserve">Value taken from the prior-year column of the Rabi Crop Estimates Data Book 2013-14 report. Published yield 2506 kg/ha vs production x 1000 / area = 2506.2 (difference -0.2, rounding). Cross-check vs AMIS Punjab - District Wise Data of Wheat 2012-14 &lt;http://www.amis.pk/Agristatistics/DistrictWise/2012-2014/Wheat.html&gt;: area 173,200 ha, production 434,100 t (area diff -10 ha, production diff +0 t).</t>
  </si>
  <si>
    <t xml:space="preserve">Published yield 2504 kg/ha vs production x 1000 / area = 2503.8 (difference 0.2, rounding). Cross-check vs AMIS Punjab - District Wise Data of Wheat 2012-14 &lt;http://www.amis.pk/Agristatistics/DistrictWise/2012-2014/Wheat.html&gt;: area 178,100 ha, production 445,800 t (area diff +40 ha, production diff -20 t).</t>
  </si>
  <si>
    <t xml:space="preserve">Value taken from the prior-year column of the Rabi Book 2015-16 report. Published yield 1776 kg/ha vs production x 1000 / area = 1776.3 (difference -0.3, rounding).</t>
  </si>
  <si>
    <t xml:space="preserve">The source prints a total yield of 1997 kg/ha, but the same row's printed area and production give 2036.9 kg/ha (difference -39.9). The row's own irrigated and un-irrigated yields agree with production/area, and the district sums match the printed provincial totals, so the printed total-yield cell is the inconsistent one. Yield is therefore calculated = production (t) x 1000 / area (ha); the printed value is kept here for reference.</t>
  </si>
  <si>
    <t xml:space="preserve">Value taken from the prior-year column of the Final Rabi Estimates 2017-18 report. Published yield 2920 kg/ha vs production x 1000 / area = 2920.2 (difference -0.2, rounding).</t>
  </si>
  <si>
    <t xml:space="preserve">Published yield 2312 kg/ha vs production x 1000 / area = 2312.3 (difference -0.3, rounding).</t>
  </si>
  <si>
    <t xml:space="preserve">Published yield 2210 kg/ha vs production x 1000 / area = 2209.6 (difference 0.4, rounding).</t>
  </si>
  <si>
    <t xml:space="preserve">Value taken from the prior-year column of the Rabi Crops Estimates 2021-22 report. Published yield 2750 kg/ha vs production x 1000 / area = 2750.5 (difference -0.5, rounding).</t>
  </si>
  <si>
    <t xml:space="preserve">Published yield 2695 kg/ha vs production x 1000 / area = 2695.5 (difference -0.5, rounding).</t>
  </si>
  <si>
    <t xml:space="preserve">Published yield 3094 kg/ha vs production x 1000 / area = 3094.1 (difference -0.1, rounding).</t>
  </si>
  <si>
    <t xml:space="preserve">Value taken from the prior-year column of the Rabi Crops Estimates 2011-12 report. Published yield 2810 kg/ha vs production x 1000 / area = 2810.3 (difference -0.3, rounding).</t>
  </si>
  <si>
    <t xml:space="preserve">Published yield 2600 kg/ha vs production x 1000 / area = 2599.7 (difference 0.3, rounding).</t>
  </si>
  <si>
    <t xml:space="preserve">Value taken from the prior-year column of the Rabi Crop Estimates Data Book 2013-14 report. Published yield 2907 kg/ha vs production x 1000 / area = 2906.8 (difference 0.2, rounding). Cross-check vs AMIS Punjab - District Wise Data of Wheat 2012-14 &lt;http://www.amis.pk/Agristatistics/DistrictWise/2012-2014/Wheat.html&gt;: area 173,200 ha, production 503,500 t (area diff +0 ha, production diff +40 t).</t>
  </si>
  <si>
    <t xml:space="preserve">Published yield 2952 kg/ha vs production x 1000 / area = 2952.1 (difference -0.1, rounding). Cross-check vs AMIS Punjab - District Wise Data of Wheat 2012-14 &lt;http://www.amis.pk/Agristatistics/DistrictWise/2012-2014/Wheat.html&gt;: area 184,500 ha, production 544,800 t (area diff -30 ha, production diff +50 t).</t>
  </si>
  <si>
    <t xml:space="preserve">Value taken from the prior-year column of the Rabi Book 2015-16 report. Published yield 3022 kg/ha vs production x 1000 / area = 3022.1 (difference -0.1, rounding).</t>
  </si>
  <si>
    <t xml:space="preserve">The source prints a total yield of 3032 kg/ha, but the same row's printed area and production give 3027.7 kg/ha (difference 4.3). The row's own irrigated and un-irrigated yields agree with production/area, and the district sums match the printed provincial totals, so the printed total-yield cell is the inconsistent one. Yield is therefore calculated = production (t) x 1000 / area (ha); the printed value is kept here for reference.</t>
  </si>
  <si>
    <t xml:space="preserve">Value taken from the prior-year column of the Final Rabi Estimates 2017-18 report. Published yield 3243 kg/ha vs production x 1000 / area = 3243.3 (difference -0.3, rounding).</t>
  </si>
  <si>
    <t xml:space="preserve">Published yield 3212 kg/ha vs production x 1000 / area = 3212.4 (difference -0.4, rounding).</t>
  </si>
  <si>
    <t xml:space="preserve">Published yield 3119 kg/ha vs production x 1000 / area = 3119.3 (difference -0.3, rounding).</t>
  </si>
  <si>
    <t xml:space="preserve">Value taken from the prior-year column of the Rabi Crops Estimates 2021-22 report. Published yield 3410 kg/ha vs production x 1000 / area = 3410.1 (difference -0.1, rounding).</t>
  </si>
  <si>
    <t xml:space="preserve">Published yield 3631 kg/ha vs production x 1000 / area = 3630.6 (difference 0.4, rounding).</t>
  </si>
  <si>
    <t xml:space="preserve">Published yield 3704 kg/ha vs production x 1000 / area = 3703.8 (difference 0.2, rounding).</t>
  </si>
  <si>
    <t xml:space="preserve">Published yield 1494 kg/ha vs production x 1000 / area = 1491.2 (difference 2.8, rounding).</t>
  </si>
  <si>
    <t xml:space="preserve">Value taken from the prior-year column of the Rabi Crops Estimates 2011-12 report. Published yield 2891 kg/ha vs production x 1000 / area = 2891.1 (difference -0.1, rounding).</t>
  </si>
  <si>
    <t xml:space="preserve">Published yield 2752 kg/ha vs production x 1000 / area = 2752.7 (difference -0.7, rounding).</t>
  </si>
  <si>
    <t xml:space="preserve">Value taken from the prior-year column of the Rabi Crop Estimates Data Book 2013-14 report. Published yield 2804 kg/ha vs production x 1000 / area = 2803.8 (difference 0.2, rounding). Cross-check vs AMIS Punjab - District Wise Data of Wheat 2012-14 &lt;http://www.amis.pk/Agristatistics/DistrictWise/2012-2014/Wheat.html&gt;: area 291,300 ha, production 816,900 t (area diff -70 ha, production diff -40 t).</t>
  </si>
  <si>
    <t xml:space="preserve">Published yield 2813 kg/ha vs production x 1000 / area = 2812.7 (difference 0.3, rounding). Cross-check vs AMIS Punjab - District Wise Data of Wheat 2012-14 &lt;http://www.amis.pk/Agristatistics/DistrictWise/2012-2014/Wheat.html&gt;: area 312,500 ha, production 878,700 t (area diff +90 ha, production diff -10 t).</t>
  </si>
  <si>
    <t xml:space="preserve">Value taken from the prior-year column of the Rabi Book 2015-16 report. Published yield 2793 kg/ha vs production x 1000 / area = 2792.4 (difference 0.6, rounding).</t>
  </si>
  <si>
    <t xml:space="preserve">The source prints a total yield of 2909 kg/ha, but the same row's printed area and production give 2883.1 kg/ha (difference 25.9). The row's own irrigated and un-irrigated yields agree with production/area, and the district sums match the printed provincial totals, so the printed total-yield cell is the inconsistent one. Yield is therefore calculated = production (t) x 1000 / area (ha); the printed value is kept here for reference.</t>
  </si>
  <si>
    <t xml:space="preserve">Value taken from the prior-year column of the Final Rabi Estimates 2017-18 report. Published yield 3180 kg/ha vs production x 1000 / area = 3180.3 (difference -0.3, rounding).</t>
  </si>
  <si>
    <t xml:space="preserve">Published yield 3148 kg/ha vs production x 1000 / area = 3147.6 (difference 0.4, rounding).</t>
  </si>
  <si>
    <t xml:space="preserve">Published yield 3072 kg/ha vs production x 1000 / area = 3072.5 (difference -0.5, rounding).</t>
  </si>
  <si>
    <t xml:space="preserve">Value taken from the prior-year column of the Rabi Crops Estimates 2021-22 report. Published yield 3154 kg/ha vs production x 1000 / area = 3154.1 (difference -0.1, rounding).</t>
  </si>
  <si>
    <t xml:space="preserve">Published yield 3036 kg/ha vs production x 1000 / area = 3036.5 (difference -0.5, rounding).</t>
  </si>
  <si>
    <t xml:space="preserve">Published yield 3264 kg/ha vs production x 1000 / area = 3264.9 (difference -0.9, rounding). District boundary change: from 2022-23 the CRS tables report Kot Addu separately, so this district's area/production are smaller than in earlier seasons.</t>
  </si>
  <si>
    <t xml:space="preserve">Value taken from the prior-year column of the Rabi Crops Estimates 2011-12 report. Published yield 2998 kg/ha vs production x 1000 / area = 2997.7 (difference 0.3, rounding).</t>
  </si>
  <si>
    <t xml:space="preserve">Published yield 3125 kg/ha vs production x 1000 / area = 3124.9 (difference 0.1, rounding).</t>
  </si>
  <si>
    <t xml:space="preserve">Value taken from the prior-year column of the Rabi Crop Estimates Data Book 2013-14 report. Published yield 3101 kg/ha vs production x 1000 / area = 3100.9 (difference 0.1, rounding). Cross-check vs AMIS Punjab - District Wise Data of Wheat 2012-14 &lt;http://www.amis.pk/Agristatistics/DistrictWise/2012-2014/Wheat.html&gt;: area 118,600 ha, production 367,700 t (area diff +30 ha, production diff +30 t).</t>
  </si>
  <si>
    <t xml:space="preserve">Published yield 3107 kg/ha vs production x 1000 / area = 3107.3 (difference -0.3, rounding). Cross-check vs AMIS Punjab - District Wise Data of Wheat 2012-14 &lt;http://www.amis.pk/Agristatistics/DistrictWise/2012-2014/Wheat.html&gt;: area 124,600 ha, production 387,300 t (area diff -40 ha, production diff +0 t).</t>
  </si>
  <si>
    <t xml:space="preserve">Value taken from the prior-year column of the Rabi Book 2015-16 report. Published yield 3329 kg/ha vs production x 1000 / area = 3328.7 (difference 0.3, rounding).</t>
  </si>
  <si>
    <t xml:space="preserve">Published yield 3227 kg/ha vs production x 1000 / area = 3227.1 (difference -0.1, rounding).</t>
  </si>
  <si>
    <t xml:space="preserve">Value taken from the prior-year column of the Final Rabi Estimates 2017-18 report. Published yield 3468 kg/ha vs production x 1000 / area = 3467.9 (difference 0.1, rounding).</t>
  </si>
  <si>
    <t xml:space="preserve">Published yield 3247 kg/ha vs production x 1000 / area = 3246.7 (difference 0.3, rounding).</t>
  </si>
  <si>
    <t xml:space="preserve">Published yield 3188 kg/ha vs production x 1000 / area = 3187.6 (difference 0.4, rounding).</t>
  </si>
  <si>
    <t xml:space="preserve">Value taken from the prior-year column of the Rabi Crops Estimates 2021-22 report. Published yield 3732 kg/ha vs production x 1000 / area = 3732.3 (difference -0.3, rounding).</t>
  </si>
  <si>
    <t xml:space="preserve">Published yield 3405 kg/ha vs production x 1000 / area = 3405.2 (difference -0.2, rounding).</t>
  </si>
  <si>
    <t xml:space="preserve">Published yield 3544 kg/ha vs production x 1000 / area = 3543.1 (difference 0.9, rounding).</t>
  </si>
  <si>
    <t xml:space="preserve">Value taken from the prior-year column of the Rabi Crops Estimates 2011-12 report. Published yield 2346 kg/ha vs production x 1000 / area = 2346.7 (difference -0.7, rounding).</t>
  </si>
  <si>
    <t xml:space="preserve">Value taken from the prior-year column of the Rabi Crop Estimates Data Book 2013-14 report. Published yield 2433 kg/ha vs production x 1000 / area = 2433.3 (difference -0.3, rounding). Cross-check vs AMIS Punjab - District Wise Data of Wheat 2012-14 &lt;http://www.amis.pk/Agristatistics/DistrictWise/2012-2014/Wheat.html&gt;: area 163,100 ha, production 396,800 t (area diff +10 ha, production diff -40 t).</t>
  </si>
  <si>
    <t xml:space="preserve">Published yield 2473 kg/ha vs production x 1000 / area = 2473.2 (difference -0.2, rounding). Cross-check vs AMIS Punjab - District Wise Data of Wheat 2012-14 &lt;http://www.amis.pk/Agristatistics/DistrictWise/2012-2014/Wheat.html&gt;: area 163,900 ha, production 405,300 t (area diff +10 ha, production diff -40 t).</t>
  </si>
  <si>
    <t xml:space="preserve">Value taken from the prior-year column of the Rabi Book 2015-16 report. Published yield 1761 kg/ha vs production x 1000 / area = 1761.1 (difference -0.1, rounding).</t>
  </si>
  <si>
    <t xml:space="preserve">The source prints a total yield of 2066 kg/ha, but the same row's printed area and production give 2084.0 kg/ha (difference -18.0). The row's own irrigated and un-irrigated yields agree with production/area, and the district sums match the printed provincial totals, so the printed total-yield cell is the inconsistent one. Yield is therefore calculated = production (t) x 1000 / area (ha); the printed value is kept here for reference.</t>
  </si>
  <si>
    <t xml:space="preserve">Value taken from the prior-year column of the Final Rabi Estimates 2017-18 report. Published yield 2448 kg/ha vs production x 1000 / area = 2447.4 (difference 0.6, rounding).</t>
  </si>
  <si>
    <t xml:space="preserve">Published yield 2617 kg/ha vs production x 1000 / area = 2616.7 (difference 0.3, rounding).</t>
  </si>
  <si>
    <t xml:space="preserve">Published yield 2180 kg/ha vs production x 1000 / area = 2180.3 (difference -0.3, rounding).</t>
  </si>
  <si>
    <t xml:space="preserve">Value taken from the prior-year column of the Rabi Crops Estimates 2021-22 report. Published yield 2638 kg/ha vs production x 1000 / area = 2638.3 (difference -0.3, rounding).</t>
  </si>
  <si>
    <t xml:space="preserve">Published yield 2266 kg/ha vs production x 1000 / area = 2266.2 (difference -0.2, rounding).</t>
  </si>
  <si>
    <t xml:space="preserve">Published yield 2889 kg/ha vs production x 1000 / area = 2888.4 (difference 0.6, rounding).</t>
  </si>
  <si>
    <t xml:space="preserve">Value taken from the prior-year column of the Rabi Crops Estimates 2011-12 report. Published yield 3582 kg/ha vs production x 1000 / area = 3582.0 (difference -0.0, rounding).</t>
  </si>
  <si>
    <t xml:space="preserve">Published yield 3548 kg/ha vs production x 1000 / area = 3548.6 (difference -0.6, rounding).</t>
  </si>
  <si>
    <t xml:space="preserve">Value taken from the prior-year column of the Rabi Crop Estimates Data Book 2013-14 report. Published yield 3569 kg/ha vs production x 1000 / area = 3569.4 (difference -0.4, rounding). Cross-check vs AMIS Punjab - District Wise Data of Wheat 2012-14 &lt;http://www.amis.pk/Agristatistics/DistrictWise/2012-2014/Wheat.html&gt;: area 214,500 ha, production 765,600 t (area diff +20 ha, production diff +40 t).</t>
  </si>
  <si>
    <t xml:space="preserve">Published yield 3588 kg/ha vs production x 1000 / area = 3587.9 (difference 0.1, rounding). Cross-check vs AMIS Punjab - District Wise Data of Wheat 2012-14 &lt;http://www.amis.pk/Agristatistics/DistrictWise/2012-2014/Wheat.html&gt;: area 227,000 ha, production 814,500 t (area diff -20 ha, production diff -30 t).</t>
  </si>
  <si>
    <t xml:space="preserve">Value taken from the prior-year column of the Rabi Book 2015-16 report. Published yield 3467 kg/ha vs production x 1000 / area = 3467.1 (difference -0.1, rounding).</t>
  </si>
  <si>
    <t xml:space="preserve">Published yield 3179 kg/ha vs production x 1000 / area = 3179.2 (difference -0.2, rounding).</t>
  </si>
  <si>
    <t xml:space="preserve">Value taken from the prior-year column of the Final Rabi Estimates 2017-18 report. Published yield 3422 kg/ha vs production x 1000 / area = 3421.8 (difference 0.2, rounding).</t>
  </si>
  <si>
    <t xml:space="preserve">Published yield 3184 kg/ha vs production x 1000 / area = 3183.9 (difference 0.1, rounding).</t>
  </si>
  <si>
    <t xml:space="preserve">Published yield 3295 kg/ha vs production x 1000 / area = 3294.6 (difference 0.4, rounding).</t>
  </si>
  <si>
    <t xml:space="preserve">Value taken from the prior-year column of the Rabi Crops Estimates 2021-22 report. Published yield 3766 kg/ha vs production x 1000 / area = 3766.1 (difference -0.1, rounding).</t>
  </si>
  <si>
    <t xml:space="preserve">Published yield 3775 kg/ha vs production x 1000 / area = 3774.8 (difference 0.2, rounding).</t>
  </si>
  <si>
    <t xml:space="preserve">Published yield 3923 kg/ha vs production x 1000 / area = 3922.5 (difference 0.5, rounding).</t>
  </si>
  <si>
    <t xml:space="preserve">Value taken from the prior-year column of the Rabi Crops Estimates 2011-12 report. Published yield 3770 kg/ha vs production x 1000 / area = 3769.7 (difference 0.3, rounding).</t>
  </si>
  <si>
    <t xml:space="preserve">Published yield 3362 kg/ha vs production x 1000 / area = 3362.0 (difference 0.0, rounding).</t>
  </si>
  <si>
    <t xml:space="preserve">Value taken from the prior-year column of the Rabi Crop Estimates Data Book 2013-14 report. Published yield 3494 kg/ha vs production x 1000 / area = 3493.7 (difference 0.3, rounding). Cross-check vs AMIS Punjab - District Wise Data of Wheat 2012-14 &lt;http://www.amis.pk/Agristatistics/DistrictWise/2012-2014/Wheat.html&gt;: area 151,700 ha, production 530,200 t (area diff -60 ha, production diff +0 t).</t>
  </si>
  <si>
    <t xml:space="preserve">Published yield 3551 kg/ha vs production x 1000 / area = 3551.1 (difference -0.1, rounding). Cross-check vs AMIS Punjab - District Wise Data of Wheat 2012-14 &lt;http://www.amis.pk/Agristatistics/DistrictWise/2012-2014/Wheat.html&gt;: area 157,800 ha, production 560,400 t (area diff -20 ha, production diff -30 t).</t>
  </si>
  <si>
    <t xml:space="preserve">Value taken from the prior-year column of the Rabi Book 2015-16 report. Published yield 3365 kg/ha vs production x 1000 / area = 3364.7 (difference 0.3, rounding).</t>
  </si>
  <si>
    <t xml:space="preserve">Published yield 3421 kg/ha vs production x 1000 / area = 3420.8 (difference 0.2, rounding).</t>
  </si>
  <si>
    <t xml:space="preserve">Value taken from the prior-year column of the Final Rabi Estimates 2017-18 report. Published yield 3536 kg/ha vs production x 1000 / area = 3536.2 (difference -0.2, rounding).</t>
  </si>
  <si>
    <t xml:space="preserve">Published yield 3470 kg/ha vs production x 1000 / area = 3469.9 (difference 0.1, rounding).</t>
  </si>
  <si>
    <t xml:space="preserve">Published yield 3509 kg/ha vs production x 1000 / area = 3509.5 (difference -0.5, rounding).</t>
  </si>
  <si>
    <t xml:space="preserve">Value taken from the prior-year column of the Rabi Crops Estimates 2021-22 report. Published yield 3642 kg/ha vs production x 1000 / area = 3642.3 (difference -0.3, rounding).</t>
  </si>
  <si>
    <t xml:space="preserve">Published yield 3446 kg/ha vs production x 1000 / area = 3445.5 (difference 0.5, rounding).</t>
  </si>
  <si>
    <t xml:space="preserve">Published yield 3804 kg/ha vs production x 1000 / area = 3803.3 (difference 0.7, rounding).</t>
  </si>
  <si>
    <t xml:space="preserve">Value taken from the prior-year column of the Rabi Crops Estimates 2011-12 report. Published yield 3120 kg/ha vs production x 1000 / area = 3120.1 (difference -0.1, rounding).</t>
  </si>
  <si>
    <t xml:space="preserve">Published yield 3105 kg/ha vs production x 1000 / area = 3105.2 (difference -0.2, rounding).</t>
  </si>
  <si>
    <t xml:space="preserve">Value taken from the prior-year column of the Rabi Crop Estimates Data Book 2013-14 report. Published yield 3330 kg/ha vs production x 1000 / area = 3330.4 (difference -0.4, rounding). Cross-check vs AMIS Punjab - District Wise Data of Wheat 2012-14 &lt;http://www.amis.pk/Agristatistics/DistrictWise/2012-2014/Wheat.html&gt;: area 279,300 ha, production 930,000 t (area diff +70 ha, production diff +50 t).</t>
  </si>
  <si>
    <t xml:space="preserve">Published yield 3369 kg/ha vs production x 1000 / area = 3369.5 (difference -0.5, rounding). Cross-check vs AMIS Punjab - District Wise Data of Wheat 2012-14 &lt;http://www.amis.pk/Agristatistics/DistrictWise/2012-2014/Wheat.html&gt;: area 293,400 ha, production 988,600 t (area diff +10 ha, production diff +20 t).</t>
  </si>
  <si>
    <t xml:space="preserve">Value taken from the prior-year column of the Rabi Book 2015-16 report. Published yield 3156 kg/ha vs production x 1000 / area = 3156.1 (difference -0.1, rounding).</t>
  </si>
  <si>
    <t xml:space="preserve">Published yield 3288 kg/ha vs production x 1000 / area = 3286.1 (difference 1.9, rounding).</t>
  </si>
  <si>
    <t xml:space="preserve">Value taken from the prior-year column of the Final Rabi Estimates 2017-18 report. Published yield 3415 kg/ha vs production x 1000 / area = 3415.7 (difference -0.7, rounding).</t>
  </si>
  <si>
    <t xml:space="preserve">Published yield 2971 kg/ha vs production x 1000 / area = 2971.0 (difference -0.0, rounding).</t>
  </si>
  <si>
    <t xml:space="preserve">Published yield 3183 kg/ha vs production x 1000 / area = 3183.3 (difference -0.3, rounding).</t>
  </si>
  <si>
    <t xml:space="preserve">Value taken from the prior-year column of the Rabi Crops Estimates 2021-22 report. Source prints the 2020-21 area total as 296.93; the printed irrigated component is 296.63 (no un-irrigated area). 296.63 is consistent with the printed 733 ('000 acres), production 1037.05 and yield 3496. Corrected value used. Published yield 3496 kg/ha vs production x 1000 / area = 3496.1 (difference -0.1, rounding).</t>
  </si>
  <si>
    <t xml:space="preserve">Published yield 3709 kg/ha vs production x 1000 / area = 3708.7 (difference 0.3, rounding).</t>
  </si>
  <si>
    <t xml:space="preserve">Published yield 3780 kg/ha vs production x 1000 / area = 3780.5 (difference -0.5, rounding).</t>
  </si>
  <si>
    <t xml:space="preserve">Value taken from the prior-year column of the Rabi Crops Estimates 2011-12 report. Published yield 2737 kg/ha vs production x 1000 / area = 2736.5 (difference 0.5, rounding).</t>
  </si>
  <si>
    <t xml:space="preserve">Published yield 2363 kg/ha vs production x 1000 / area = 2363.0 (difference -0.0, rounding).</t>
  </si>
  <si>
    <t xml:space="preserve">Value taken from the prior-year column of the Rabi Crop Estimates Data Book 2013-14 report. Published yield 2593 kg/ha vs production x 1000 / area = 2592.9 (difference 0.1, rounding). Cross-check vs AMIS Punjab - District Wise Data of Wheat 2012-14 &lt;http://www.amis.pk/Agristatistics/DistrictWise/2012-2014/Wheat.html&gt;: area 165,900 ha, production 430,200 t (area diff -20 ha, production diff -10 t).</t>
  </si>
  <si>
    <t xml:space="preserve">Published yield 2608 kg/ha vs production x 1000 / area = 2608.2 (difference -0.2, rounding). Cross-check vs AMIS Punjab - District Wise Data of Wheat 2012-14 &lt;http://www.amis.pk/Agristatistics/DistrictWise/2012-2014/Wheat.html&gt;: area 176,800 ha, production 461,200 t (area diff -40 ha, production diff -30 t).</t>
  </si>
  <si>
    <t xml:space="preserve">Value taken from the prior-year column of the Rabi Book 2015-16 report. Published yield 2825 kg/ha vs production x 1000 / area = 2825.4 (difference -0.4, rounding).</t>
  </si>
  <si>
    <t xml:space="preserve">The source prints a total yield of 2906 kg/ha, but the same row's printed area and production give 3078.7 kg/ha (difference -172.7). The row's own irrigated and un-irrigated yields agree with production/area, and the district sums match the printed provincial totals, so the printed total-yield cell is the inconsistent one. Yield is therefore calculated = production (t) x 1000 / area (ha); the printed value is kept here for reference.</t>
  </si>
  <si>
    <t xml:space="preserve">Value taken from the prior-year column of the Final Rabi Estimates 2017-18 report. Published yield 3396 kg/ha vs production x 1000 / area = 3395.7 (difference 0.3, rounding).</t>
  </si>
  <si>
    <t xml:space="preserve">Published yield 3026 kg/ha vs production x 1000 / area = 3026.2 (difference -0.2, rounding).</t>
  </si>
  <si>
    <t xml:space="preserve">Published yield 3034 kg/ha vs production x 1000 / area = 3034.3 (difference -0.3, rounding).</t>
  </si>
  <si>
    <t xml:space="preserve">Value taken from the prior-year column of the Rabi Crops Estimates 2021-22 report. Published yield 3401 kg/ha vs production x 1000 / area = 3400.4 (difference 0.6, rounding).</t>
  </si>
  <si>
    <t xml:space="preserve">Published yield 3468 kg/ha vs production x 1000 / area = 3467.9 (difference 0.1, rounding).</t>
  </si>
  <si>
    <t xml:space="preserve">Published yield 3503 kg/ha vs production x 1000 / area = 3503.0 (difference 0.0, rounding).</t>
  </si>
  <si>
    <t xml:space="preserve">Value taken from the prior-year column of the Rabi Crops Estimates 2011-12 report. Published yield 1375 kg/ha vs production x 1000 / area = 1375.3 (difference -0.3, rounding).</t>
  </si>
  <si>
    <t xml:space="preserve">Published yield 1233 kg/ha vs production x 1000 / area = 1233.3 (difference -0.3, rounding).</t>
  </si>
  <si>
    <t xml:space="preserve">Value taken from the prior-year column of the Rabi Crop Estimates Data Book 2013-14 report. Published yield 1826 kg/ha vs production x 1000 / area = 1825.7 (difference 0.3, rounding). Cross-check vs AMIS Punjab - District Wise Data of Wheat 2012-14 &lt;http://www.amis.pk/Agristatistics/DistrictWise/2012-2014/Wheat.html&gt;: area 115,700 ha, production 211,300 t (area diff -40 ha, production diff -10 t).</t>
  </si>
  <si>
    <t xml:space="preserve">Published yield 1403 kg/ha vs production x 1000 / area = 1402.5 (difference 0.5, rounding). Cross-check vs AMIS Punjab - District Wise Data of Wheat 2012-14 &lt;http://www.amis.pk/Agristatistics/DistrictWise/2012-2014/Wheat.html&gt;: area 117,400 ha, production 164,600 t (area diff +40 ha, production diff +0 t).</t>
  </si>
  <si>
    <t xml:space="preserve">Value taken from the prior-year column of the Rabi Book 2015-16 report. Published yield 1614 kg/ha vs production x 1000 / area = 1614.0 (difference 0.0, rounding).</t>
  </si>
  <si>
    <t xml:space="preserve">Published yield 1671 kg/ha vs production x 1000 / area = 1670.0 (difference 1.0, rounding).</t>
  </si>
  <si>
    <t xml:space="preserve">Value taken from the prior-year column of the Final Rabi Estimates 2017-18 report. Published yield 1231 kg/ha vs production x 1000 / area = 1231.1 (difference -0.1, rounding).</t>
  </si>
  <si>
    <t xml:space="preserve">Published yield 1499 kg/ha vs production x 1000 / area = 1498.7 (difference 0.3, rounding).</t>
  </si>
  <si>
    <t xml:space="preserve">Published yield 1559 kg/ha vs production x 1000 / area = 1558.8 (difference 0.2, rounding).</t>
  </si>
  <si>
    <t xml:space="preserve">Value taken from the prior-year column of the Rabi Crops Estimates 2021-22 report. Published yield 1655 kg/ha vs production x 1000 / area = 1654.8 (difference 0.2, rounding).</t>
  </si>
  <si>
    <t xml:space="preserve">Published yield 1946 kg/ha vs production x 1000 / area = 1946.6 (difference -0.6, rounding).</t>
  </si>
  <si>
    <t xml:space="preserve">Published yield 2094 kg/ha vs production x 1000 / area = 2093.4 (difference 0.6, rounding). District boundary change: from 2022-23 the CRS tables report Murree separately, so this district's area/production are smaller than in earlier seasons.</t>
  </si>
  <si>
    <t xml:space="preserve">Value taken from the prior-year column of the Rabi Crops Estimates 2011-12 report. Published yield 3246 kg/ha vs production x 1000 / area = 3245.5 (difference 0.5, rounding).</t>
  </si>
  <si>
    <t xml:space="preserve">Published yield 3109 kg/ha vs production x 1000 / area = 3109.0 (difference -0.0, rounding).</t>
  </si>
  <si>
    <t xml:space="preserve">Value taken from the prior-year column of the Rabi Crop Estimates Data Book 2013-14 report. Published yield 3123 kg/ha vs production x 1000 / area = 3123.0 (difference -0.0, rounding). Cross-check vs AMIS Punjab - District Wise Data of Wheat 2012-14 &lt;http://www.amis.pk/Agristatistics/DistrictWise/2012-2014/Wheat.html&gt;: area 135,200 ha, production 422,100 t (area diff +40 ha, production diff -10 t).</t>
  </si>
  <si>
    <t xml:space="preserve">Published yield 3200 kg/ha vs production x 1000 / area = 3200.4 (difference -0.4, rounding). Cross-check vs AMIS Punjab - District Wise Data of Wheat 2012-14 &lt;http://www.amis.pk/Agristatistics/DistrictWise/2012-2014/Wheat.html&gt;: area 144,900 ha, production 463,700 t (area diff +20 ha, production diff +30 t).</t>
  </si>
  <si>
    <t xml:space="preserve">Value taken from the prior-year column of the Rabi Book 2015-16 report. Published yield 3046 kg/ha vs production x 1000 / area = 3046.3 (difference -0.3, rounding).</t>
  </si>
  <si>
    <t xml:space="preserve">Published yield 3135 kg/ha vs production x 1000 / area = 3135.0 (difference 0.0, rounding).</t>
  </si>
  <si>
    <t xml:space="preserve">Value taken from the prior-year column of the Final Rabi Estimates 2017-18 report. Published yield 3542 kg/ha vs production x 1000 / area = 3541.7 (difference 0.3, rounding).</t>
  </si>
  <si>
    <t xml:space="preserve">Published yield 3469 kg/ha vs production x 1000 / area = 3468.6 (difference 0.4, rounding).</t>
  </si>
  <si>
    <t xml:space="preserve">Published yield 3262 kg/ha vs production x 1000 / area = 3262.3 (difference -0.3, rounding).</t>
  </si>
  <si>
    <t xml:space="preserve">Value taken from the prior-year column of the Rabi Crops Estimates 2021-22 report. Published yield 3539 kg/ha vs production x 1000 / area = 3538.5 (difference 0.5, rounding).</t>
  </si>
  <si>
    <t xml:space="preserve">Published yield 3409 kg/ha vs production x 1000 / area = 3409.0 (difference 0.0, rounding).</t>
  </si>
  <si>
    <t xml:space="preserve">Published yield 3664 kg/ha vs production x 1000 / area = 3664.0 (difference 0.0, rounding).</t>
  </si>
  <si>
    <t xml:space="preserve">Value taken from the prior-year column of the Rabi Crops Estimates 2011-12 report. Published yield 2582 kg/ha vs production x 1000 / area = 2582.5 (difference -0.5, rounding).</t>
  </si>
  <si>
    <t xml:space="preserve">Published yield 2662 kg/ha vs production x 1000 / area = 2661.9 (difference 0.1, rounding).</t>
  </si>
  <si>
    <t xml:space="preserve">Value taken from the prior-year column of the Rabi Crop Estimates Data Book 2013-14 report. Published yield 2742 kg/ha vs production x 1000 / area = 2742.1 (difference -0.1, rounding). Cross-check vs AMIS Punjab - District Wise Data of Wheat 2012-14 &lt;http://www.amis.pk/Agristatistics/DistrictWise/2012-2014/Wheat.html&gt;: area 210,400 ha, production 577,000 t (area diff -30 ha, production diff -20 t).</t>
  </si>
  <si>
    <t xml:space="preserve">Published yield 2315 kg/ha vs production x 1000 / area = 2315.1 (difference -0.1, rounding). Cross-check vs AMIS Punjab - District Wise Data of Wheat 2012-14 &lt;http://www.amis.pk/Agristatistics/DistrictWise/2012-2014/Wheat.html&gt;: area 221,800 ha, production 513,400 t (area diff +40 ha, production diff +10 t).</t>
  </si>
  <si>
    <t xml:space="preserve">Value taken from the prior-year column of the Rabi Book 2015-16 report. Published yield 2308 kg/ha vs production x 1000 / area = 2307.7 (difference 0.3, rounding).</t>
  </si>
  <si>
    <t xml:space="preserve">Published yield 2491 kg/ha vs production x 1000 / area = 2491.2 (difference -0.2, rounding).</t>
  </si>
  <si>
    <t xml:space="preserve">Value taken from the prior-year column of the Final Rabi Estimates 2017-18 report. Published yield 2790 kg/ha vs production x 1000 / area = 2790.1 (difference -0.1, rounding).</t>
  </si>
  <si>
    <t xml:space="preserve">Published yield 2769 kg/ha vs production x 1000 / area = 2768.7 (difference 0.3, rounding).</t>
  </si>
  <si>
    <t xml:space="preserve">Published yield 2602 kg/ha vs production x 1000 / area = 2602.0 (difference 0.0, rounding).</t>
  </si>
  <si>
    <t xml:space="preserve">Value taken from the prior-year column of the Rabi Crops Estimates 2021-22 report. Source prints the 2020-21 area total as 59.89; the printed irrigated component is 207.60 (no un-irrigated area). 207.60 is consistent with the printed 513 ('000 acres), production 616.63 and yield 2970. Corrected value used. Published yield 2970 kg/ha vs production x 1000 / area = 2970.3 (difference -0.3, rounding).</t>
  </si>
  <si>
    <t xml:space="preserve">Published yield 2797 kg/ha vs production x 1000 / area = 2797.3 (difference -0.3, rounding).</t>
  </si>
  <si>
    <t xml:space="preserve">Published yield 3139 kg/ha vs production x 1000 / area = 3139.5 (difference -0.5, rounding).</t>
  </si>
  <si>
    <t xml:space="preserve">Value taken from the prior-year column of the Rabi Crops Estimates 2011-12 report. Published yield 3039 kg/ha vs production x 1000 / area = 3039.0 (difference -0.0, rounding).</t>
  </si>
  <si>
    <t xml:space="preserve">Published yield 2871 kg/ha vs production x 1000 / area = 2871.2 (difference -0.2, rounding).</t>
  </si>
  <si>
    <t xml:space="preserve">Value taken from the prior-year column of the Rabi Crop Estimates Data Book 2013-14 report. Published yield 3048 kg/ha vs production x 1000 / area = 3048.3 (difference -0.3, rounding). Cross-check vs AMIS Punjab - District Wise Data of Wheat 2012-14 &lt;http://www.amis.pk/Agristatistics/DistrictWise/2012-2014/Wheat.html&gt;: area 220,600 ha, production 672,300 t (area diff +50 ha, production diff +0 t).</t>
  </si>
  <si>
    <t xml:space="preserve">Published yield 3063 kg/ha vs production x 1000 / area = 3063.0 (difference 0.0, rounding). Cross-check vs AMIS Punjab - District Wise Data of Wheat 2012-14 &lt;http://www.amis.pk/Agristatistics/DistrictWise/2012-2014/Wheat.html&gt;: area 225,400 ha, production 690,400 t (area diff -10 ha, production diff -30 t).</t>
  </si>
  <si>
    <t xml:space="preserve">Value taken from the prior-year column of the Rabi Book 2015-16 report. Published yield 3212 kg/ha vs production x 1000 / area = 3211.6 (difference 0.4, rounding).</t>
  </si>
  <si>
    <t xml:space="preserve">Published yield 2879 kg/ha vs production x 1000 / area = 2878.6 (difference 0.4, rounding).</t>
  </si>
  <si>
    <t xml:space="preserve">Value taken from the prior-year column of the Final Rabi Estimates 2017-18 report. Published yield 3173 kg/ha vs production x 1000 / area = 3172.7 (difference 0.3, rounding).</t>
  </si>
  <si>
    <t xml:space="preserve">Published yield 3234 kg/ha vs production x 1000 / area = 3233.7 (difference 0.3, rounding).</t>
  </si>
  <si>
    <t xml:space="preserve">Published yield 3019 kg/ha vs production x 1000 / area = 3018.8 (difference 0.2, rounding).</t>
  </si>
  <si>
    <t xml:space="preserve">Value taken from the prior-year column of the Rabi Crops Estimates 2021-22 report. Published yield 3278 kg/ha vs production x 1000 / area = 3277.7 (difference 0.3, rounding).</t>
  </si>
  <si>
    <t xml:space="preserve">Published yield 3029 kg/ha vs production x 1000 / area = 3028.6 (difference 0.4, rounding).</t>
  </si>
  <si>
    <t xml:space="preserve">Published yield 3310 kg/ha vs production x 1000 / area = 3310.7 (difference -0.7, rounding).</t>
  </si>
  <si>
    <t xml:space="preserve">Value taken from the prior-year column of the Rabi Crops Estimates 2011-12 report. Published yield 2642 kg/ha vs production x 1000 / area = 2642.1 (difference -0.1, rounding).</t>
  </si>
  <si>
    <t xml:space="preserve">Published yield 2905 kg/ha vs production x 1000 / area = 2905.3 (difference -0.3, rounding).</t>
  </si>
  <si>
    <t xml:space="preserve">Value taken from the prior-year column of the Rabi Crop Estimates Data Book 2013-14 report. Published yield 2995 kg/ha vs production x 1000 / area = 2994.8 (difference 0.2, rounding). Cross-check vs AMIS Punjab - District Wise Data of Wheat 2012-14 &lt;http://www.amis.pk/Agristatistics/DistrictWise/2012-2014/Wheat.html&gt;: area 203,500 ha, production 609,600 t (area diff -50 ha, production diff +0 t).</t>
  </si>
  <si>
    <t xml:space="preserve">Published yield 3018 kg/ha vs production x 1000 / area = 3018.1 (difference -0.1, rounding). Cross-check vs AMIS Punjab - District Wise Data of Wheat 2012-14 &lt;http://www.amis.pk/Agristatistics/DistrictWise/2012-2014/Wheat.html&gt;: area 209,600 ha, production 632,700 t (area diff -30 ha, production diff +20 t).</t>
  </si>
  <si>
    <t xml:space="preserve">Value taken from the prior-year column of the Rabi Book 2015-16 report. Published yield 1712 kg/ha vs production x 1000 / area = 1711.8 (difference 0.2, rounding).</t>
  </si>
  <si>
    <t xml:space="preserve">Published yield 2449 kg/ha vs production x 1000 / area = 2448.8 (difference 0.2, rounding).</t>
  </si>
  <si>
    <t xml:space="preserve">Value taken from the prior-year column of the Final Rabi Estimates 2017-18 report. Published yield 2563 kg/ha vs production x 1000 / area = 2563.1 (difference -0.1, rounding).</t>
  </si>
  <si>
    <t xml:space="preserve">Published yield 2728 kg/ha vs production x 1000 / area = 2728.2 (difference -0.2, rounding).</t>
  </si>
  <si>
    <t xml:space="preserve">Published yield 2544 kg/ha vs production x 1000 / area = 2543.8 (difference 0.2, rounding).</t>
  </si>
  <si>
    <t xml:space="preserve">Value taken from the prior-year column of the Rabi Crops Estimates 2021-22 report. Published yield 2874 kg/ha vs production x 1000 / area = 2874.5 (difference -0.5, rounding).</t>
  </si>
  <si>
    <t xml:space="preserve">Published yield 2495 kg/ha vs production x 1000 / area = 2494.9 (difference 0.1, rounding).</t>
  </si>
  <si>
    <t xml:space="preserve">Published yield 2971 kg/ha vs production x 1000 / area = 2971.1 (difference -0.1, rounding).</t>
  </si>
  <si>
    <t xml:space="preserve">Published yield 1763 kg/ha vs production x 1000 / area = 1764.0 (difference -1.0, rounding).</t>
  </si>
  <si>
    <t xml:space="preserve">Value taken from the prior-year column of the Rabi Crops Estimates 2011-12 report. Published yield 3440 kg/ha vs production x 1000 / area = 3440.3 (difference -0.3, rounding).</t>
  </si>
  <si>
    <t xml:space="preserve">Published yield 3118 kg/ha vs production x 1000 / area = 3118.2 (difference -0.2, rounding).</t>
  </si>
  <si>
    <t xml:space="preserve">Value taken from the prior-year column of the Rabi Crop Estimates Data Book 2013-14 report. Published yield 3290 kg/ha vs production x 1000 / area = 3289.9 (difference 0.1, rounding). Cross-check vs AMIS Punjab - District Wise Data of Wheat 2012-14 &lt;http://www.amis.pk/Agristatistics/DistrictWise/2012-2014/Wheat.html&gt;: area 153,800 ha, production 505,900 t (area diff +20 ha, production diff -20 t).</t>
  </si>
  <si>
    <t xml:space="preserve">Published yield 3311 kg/ha vs production x 1000 / area = 3311.2 (difference -0.2, rounding). Cross-check vs AMIS Punjab - District Wise Data of Wheat 2012-14 &lt;http://www.amis.pk/Agristatistics/DistrictWise/2012-2014/Wheat.html&gt;: area 171,600 ha, production 568,100 t (area diff +20 ha, production diff -40 t).</t>
  </si>
  <si>
    <t xml:space="preserve">Value taken from the prior-year column of the Rabi Book 2015-16 report. Published yield 3305 kg/ha vs production x 1000 / area = 3304.6 (difference 0.4, rounding).</t>
  </si>
  <si>
    <t xml:space="preserve">Published yield 3378 kg/ha vs production x 1000 / area = 3377.6 (difference 0.4, rounding).</t>
  </si>
  <si>
    <t xml:space="preserve">Value taken from the prior-year column of the Final Rabi Estimates 2017-18 report. Published yield 3520 kg/ha vs production x 1000 / area = 3519.5 (difference 0.5, rounding).</t>
  </si>
  <si>
    <t xml:space="preserve">Published yield 3385 kg/ha vs production x 1000 / area = 3384.8 (difference 0.2, rounding).</t>
  </si>
  <si>
    <t xml:space="preserve">Published yield 3366 kg/ha vs production x 1000 / area = 3366.4 (difference -0.4, rounding).</t>
  </si>
  <si>
    <t xml:space="preserve">Value taken from the prior-year column of the Rabi Crops Estimates 2021-22 report. Published yield 3468 kg/ha vs production x 1000 / area = 3468.3 (difference -0.3, rounding).</t>
  </si>
  <si>
    <t xml:space="preserve">Published yield 3339 kg/ha vs production x 1000 / area = 3339.0 (difference -0.0, rounding).</t>
  </si>
  <si>
    <t xml:space="preserve">Published yield 3611 kg/ha vs production x 1000 / area = 3610.9 (difference 0.1, rounding).</t>
  </si>
  <si>
    <t xml:space="preserve">Value taken from the prior-year column of the Rabi Crops Estimates 2011-12 report. Published yield 3154 kg/ha vs production x 1000 / area = 3154.4 (difference -0.4, rounding).</t>
  </si>
  <si>
    <t xml:space="preserve">Published yield 3211 kg/ha vs production x 1000 / area = 3210.6 (difference 0.4, rounding).</t>
  </si>
  <si>
    <t xml:space="preserve">Value taken from the prior-year column of the Rabi Crop Estimates Data Book 2013-14 report. Published yield 3273 kg/ha vs production x 1000 / area = 3273.3 (difference -0.3, rounding). Cross-check vs AMIS Punjab - District Wise Data of Wheat 2012-14 &lt;http://www.amis.pk/Agristatistics/DistrictWise/2012-2014/Wheat.html&gt;: area 250,900 ha, production 821,300 t (area diff +0 ha, production diff +20 t).</t>
  </si>
  <si>
    <t xml:space="preserve">Published yield 3307 kg/ha vs production x 1000 / area = 3307.8 (difference -0.8, rounding). Cross-check vs AMIS Punjab - District Wise Data of Wheat 2012-14 &lt;http://www.amis.pk/Agristatistics/DistrictWise/2012-2014/Wheat.html&gt;: area 267,500 ha, production 884,800 t (area diff +0 ha, production diff -30 t).</t>
  </si>
  <si>
    <t xml:space="preserve">Value taken from the prior-year column of the Rabi Book 2015-16 report. Published yield 3290 kg/ha vs production x 1000 / area = 3289.9 (difference 0.1, rounding).</t>
  </si>
  <si>
    <t xml:space="preserve">Published yield 3272 kg/ha vs production x 1000 / area = 3272.4 (difference -0.4, rounding).</t>
  </si>
  <si>
    <t xml:space="preserve">Value taken from the prior-year column of the Final Rabi Estimates 2017-18 report. Published yield 3366 kg/ha vs production x 1000 / area = 3366.5 (difference -0.5, rounding).</t>
  </si>
  <si>
    <t xml:space="preserve">Published yield 3261 kg/ha vs production x 1000 / area = 3261.4 (difference -0.4, rounding).</t>
  </si>
  <si>
    <t xml:space="preserve">Published yield 3059 kg/ha vs production x 1000 / area = 3059.4 (difference -0.4, rounding).</t>
  </si>
  <si>
    <t xml:space="preserve">Value taken from the prior-year column of the Rabi Crops Estimates 2021-22 report. Published yield 3488 kg/ha vs production x 1000 / area = 3488.2 (difference -0.2, rounding).</t>
  </si>
  <si>
    <t xml:space="preserve">Published yield 3485 kg/ha vs production x 1000 / area = 3485.2 (difference -0.2, rounding).</t>
  </si>
  <si>
    <t xml:space="preserve">Published yield 3718 kg/ha vs production x 1000 / area = 3716.1 (difference 1.9, rounding).</t>
  </si>
  <si>
    <t xml:space="preserve">Published yield 3191 kg/ha vs production x 1000 / area = 3188.6 (difference 2.4, rounding).</t>
  </si>
  <si>
    <t xml:space="preserve">Reason</t>
  </si>
  <si>
    <t xml:space="preserve">Search Attempted</t>
  </si>
  <si>
    <t xml:space="preserve">Possible Source</t>
  </si>
  <si>
    <t xml:space="preserve">2019-20</t>
  </si>
  <si>
    <t xml:space="preserve">No value entered - season not yet retrieved from an official report (nothing estimated or interpolated)</t>
  </si>
  <si>
    <t xml:space="preserve">CRS Final Rabi Estimates 2020-21 book (prior-year column) is on agripunjab.gov.pk, which blocks automated access (robots.txt); no 2019-20 book found on the accessible agripunjab.punjab.gov.pk host; AMIS 2019-20 PDF not opened</t>
  </si>
  <si>
    <t xml:space="preserve">https://agripunjab.gov.pk/system/files/Final%20Rabi%20Estimates%202020-21.pdf ; AMIS 'District Wise Area Production of Punjab 2019-20.pdf'</t>
  </si>
  <si>
    <t xml:space="preserve">Dera Ghazi Khan</t>
  </si>
  <si>
    <t xml:space="preserve">Mandi Bahauddin</t>
  </si>
  <si>
    <t xml:space="preserve">Rajanpur</t>
  </si>
  <si>
    <t xml:space="preserve">Toba Tek Singh</t>
  </si>
  <si>
    <t xml:space="preserve">2023-24</t>
  </si>
  <si>
    <t xml:space="preserve">CRS 'Rabi Crops Estimate 2023-24' page (lists Wheat) blocked by robots.txt; AMIS 'District Wise Crop data 2023-24.pdf' opened = Kharif book with no wheat</t>
  </si>
  <si>
    <t xml:space="preserve">https://crs-agripunjab.punjab.gov.pk/node/310 (Wheat 2023-24); AMIS 'Kharif Rabi Estimates in Punjab 2024-25.pdf' (prior-year column)</t>
  </si>
  <si>
    <t xml:space="preserve">Murree</t>
  </si>
  <si>
    <t xml:space="preserve">Punjab district-level wheat dataset - Summary</t>
  </si>
  <si>
    <t xml:space="preserve">Total number of verified rows</t>
  </si>
  <si>
    <t xml:space="preserve">Number of districts</t>
  </si>
  <si>
    <t xml:space="preserve">Number of seasons</t>
  </si>
  <si>
    <t xml:space="preserve">Earliest season</t>
  </si>
  <si>
    <t xml:space="preserve">Latest season</t>
  </si>
  <si>
    <t xml:space="preserve">Number of directly reported yields</t>
  </si>
  <si>
    <t xml:space="preserve">Number of calculated yields</t>
  </si>
  <si>
    <t xml:space="preserve">Number of missing district-season observations</t>
  </si>
  <si>
    <t xml:space="preserve">Districts covered</t>
  </si>
  <si>
    <t xml:space="preserve">Attock, Bahawalnagar, Bahawalpur, Bhakkar, Chakwal, Chiniot, Dera Ghazi Khan, Faisalabad, Gujranwala, Gujrat, Hafizabad, Jhang, Jhelum, Kasur, Khanewal, Khushab, Kot Addu, Lahore, Layyah, Lodhran, Mandi Bahauddin, Mianwali, Multan, Murree, Muzaffargarh, Nankana Sahib, Narowal, Okara, Pakpattan, Rahim Yar Khan, Rajanpur, Rawalpindi, Sahiwal, Sargodha, Sheikhupura, Sialkot, Talagang, Toba Tek Singh, Vehari, Wazirabad</t>
  </si>
  <si>
    <t xml:space="preserve">Seasons covered</t>
  </si>
  <si>
    <t xml:space="preserve">2010-11, 2011-12, 2012-13, 2013-14, 2014-15, 2015-16, 2016-17, 2017-18, 2018-19, 2020-21, 2021-22, 2022-23</t>
  </si>
  <si>
    <t xml:space="preserve">Seasons NOT covered (see Missing_Unverified)</t>
  </si>
  <si>
    <t xml:space="preserve">2019-20, 2023-24</t>
  </si>
  <si>
    <t xml:space="preserve">Units, method and limitations</t>
  </si>
  <si>
    <t xml:space="preserve">Units</t>
  </si>
  <si>
    <t xml:space="preserve">Area in hectares and production in metric tonnes. Sources publish '000 hectares and '000 tonnes; values were multiplied by 1,000 (unit conversion only, no rounding change).</t>
  </si>
  <si>
    <t xml:space="preserve">Yield</t>
  </si>
  <si>
    <t xml:space="preserve">CRS tables publish yield in kg/ha (used as-is, 'directly reported'). Where the printed total yield contradicts the same row's area and production, yield is the formula = production x 1000 / area (live Excel formula in column E, status says 'calculated'). AMIS.pk (2012-14) is used only as a cross-check, listed in Source_Verification notes.</t>
  </si>
  <si>
    <t xml:space="preserve">Precision</t>
  </si>
  <si>
    <t xml:space="preserve">The CRS 2022-23 report prints area and production to 0.1 ('000) (all earlier reports print 2 decimals), so 2022-23 values are rounded to the nearest 100 ha / 100 t. Its published yields are used as printed.</t>
  </si>
  <si>
    <t xml:space="preserve">Seasons not covered</t>
  </si>
  <si>
    <t xml:space="preserve">2019-20 (its only located source is the CRS 2020-21 book on agripunjab.gov.pk, which blocks automated access) and 2023-24 (CRS page blocks automated access) are not in the workbook. Nothing was estimated or interpolated for them.</t>
  </si>
  <si>
    <t xml:space="preserve">Meaning of 'Verified'</t>
  </si>
  <si>
    <t xml:space="preserve">Each value was read from the official PDF/HTML table named in Source and Source_Verification. For CRS rows the published yield was checked against production x 1000 / area (tolerance 2 kg/ha) and the district values were summed and compared with the printed provincial total. Rows were not independently re-keyed by a second person.</t>
  </si>
  <si>
    <t xml:space="preserve">Prior-year columns</t>
  </si>
  <si>
    <t xml:space="preserve">A CRS report shows the previous season next to the current one. Where the own-season report has not yet been read, the prior-year column is used and labelled as such. Where both exist, the own-season report is primary and the other is listed as a cross-check in Source_Verification (never a second row).</t>
  </si>
  <si>
    <t xml:space="preserve">Source typos corrected</t>
  </si>
  <si>
    <t xml:space="preserve">Three 2020-21 area cells in the CRS 2021-22 report are printed wrongly (Attock 23.15, Sargodha 59.89, R.Y. Khan 296.93 '000 ha). The correct figure is derivable from the printed row components and matches the printed acres, production and yield. Rows are flagged in Verification Status and explained in Source_Verification.</t>
  </si>
  <si>
    <t xml:space="preserve">Yield conflicts in source</t>
  </si>
  <si>
    <t xml:space="preserve">In some CRS tables the printed TOTAL yield of districts that have both irrigated and un-irrigated wheat does not equal that row's printed production / area (e.g. Attock 2015-16 prints 1802 but production/area = 1785). For those rows the yield is calculated from the printed area and production (status says so) and the printed value is kept in Source_Verification notes. Where the two agree (within 2 kg/ha) the printed CRS yield is used as 'directly reported'.</t>
  </si>
  <si>
    <t xml:space="preserve">Islamabad</t>
  </si>
  <si>
    <t xml:space="preserve">CRS tables list Islamabad (Islamabad Capital Territory) under Rawalpindi Division. It is not a Punjab district and is excluded from the dataset (it is included only when reconciling district sums with printed provincial totals).</t>
  </si>
  <si>
    <t xml:space="preserve">Sheikhupura values are for Sheikhupura District. Nankana Sahib, separated from Sheikhupura in 2005, is reported separately in every source used.</t>
  </si>
  <si>
    <t xml:space="preserve">District names</t>
  </si>
  <si>
    <t xml:space="preserve">Wheat_Yield_Data uses the name as printed in the source; District_Name_Map gives the standardised name to use for grouping/joins.</t>
  </si>
  <si>
    <t xml:space="preserve">New districts</t>
  </si>
  <si>
    <t xml:space="preserve">Kot Addu, Murree, Talagang and Wazirabad appear in CRS tables from about 2022-23/2023-24. They have no earlier seasons and are not in this workbook yet.</t>
  </si>
  <si>
    <t xml:space="preserve">Name as printed in source(s)</t>
  </si>
  <si>
    <t xml:space="preserve">Standardised district name</t>
  </si>
  <si>
    <t xml:space="preserve">Note</t>
  </si>
  <si>
    <t xml:space="preserve">Printed as 'D.G. Khan'.</t>
  </si>
  <si>
    <t xml:space="preserve">M.B. Din | M.B.Din</t>
  </si>
  <si>
    <t xml:space="preserve">Printed as 'M.B. Din' / 'M.B.Din'.</t>
  </si>
  <si>
    <t xml:space="preserve">M. Garh | Muzaffargarh | Muzzafargargh</t>
  </si>
  <si>
    <t xml:space="preserve">Printed as 'Muzaffargarh' (CRS) and 'M. Garh' (AMIS).</t>
  </si>
  <si>
    <t xml:space="preserve">Carved out of Sheikhupura District (2005); reported separately in every source used - Sheikhupura values are Sheikhupura District only.</t>
  </si>
  <si>
    <t xml:space="preserve">R.Y. Khan | Rahim Yar Khan | Rahimyar Khan</t>
  </si>
  <si>
    <t xml:space="preserve">Printed as 'Rahim Yar Khan', 'R.Y. Khan', 'Rahimyar Khan'.</t>
  </si>
  <si>
    <t xml:space="preserve">Rajan Pur | Rajanpur</t>
  </si>
  <si>
    <t xml:space="preserve">Printed as 'Rajan Pur' (CRS) and 'Rajanpur' (AMIS).</t>
  </si>
  <si>
    <t xml:space="preserve">T.T. Singh | Toba Tek Singh</t>
  </si>
  <si>
    <t xml:space="preserve">Printed as 'T.T. Singh' (CRS) and 'Toba Tek Singh' (AMIS).</t>
  </si>
</sst>
</file>

<file path=xl/styles.xml><?xml version="1.0" encoding="utf-8"?>
<styleSheet xmlns="http://schemas.openxmlformats.org/spreadsheetml/2006/main">
  <numFmts count="5">
    <numFmt numFmtId="164" formatCode="General"/>
    <numFmt numFmtId="165" formatCode="#,##0"/>
    <numFmt numFmtId="166" formatCode="0"/>
    <numFmt numFmtId="167" formatCode="0.0"/>
    <numFmt numFmtId="168" formatCode="General"/>
  </numFmts>
  <fonts count="8">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3"/>
      <name val="Arial"/>
      <family val="0"/>
      <charset val="1"/>
    </font>
    <font>
      <b val="true"/>
      <sz val="10"/>
      <name val="Arial"/>
      <family val="0"/>
      <charset val="1"/>
    </font>
  </fonts>
  <fills count="3">
    <fill>
      <patternFill patternType="none"/>
    </fill>
    <fill>
      <patternFill patternType="gray125"/>
    </fill>
    <fill>
      <patternFill patternType="solid">
        <fgColor rgb="FF1F4E78"/>
        <bgColor rgb="FF0033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true" applyProtection="false">
      <alignment horizontal="left"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0"/>
    <col collapsed="false" customWidth="true" hidden="false" outlineLevel="0" max="3" min="3" style="0" width="16"/>
    <col collapsed="false" customWidth="true" hidden="false" outlineLevel="0" max="4" min="4" style="0" width="20"/>
    <col collapsed="false" customWidth="true" hidden="false" outlineLevel="0" max="5" min="5" style="0" width="16"/>
    <col collapsed="false" customWidth="true" hidden="false" outlineLevel="0" max="6" min="6" style="0" width="46"/>
    <col collapsed="false" customWidth="true" hidden="false" outlineLevel="0" max="8" min="7" style="0" width="70"/>
  </cols>
  <sheetData>
    <row r="1" customFormat="false" ht="31.5" hidden="false" customHeight="true" outlineLevel="0" collapsed="false">
      <c r="A1" s="1" t="s">
        <v>0</v>
      </c>
      <c r="B1" s="1" t="s">
        <v>1</v>
      </c>
      <c r="C1" s="1" t="s">
        <v>2</v>
      </c>
      <c r="D1" s="1" t="s">
        <v>3</v>
      </c>
      <c r="E1" s="1" t="s">
        <v>4</v>
      </c>
      <c r="F1" s="1" t="s">
        <v>5</v>
      </c>
      <c r="G1" s="1" t="s">
        <v>6</v>
      </c>
      <c r="H1" s="1" t="s">
        <v>7</v>
      </c>
    </row>
    <row r="2" customFormat="false" ht="15" hidden="false" customHeight="false" outlineLevel="0" collapsed="false">
      <c r="A2" s="2" t="s">
        <v>8</v>
      </c>
      <c r="B2" s="2" t="s">
        <v>9</v>
      </c>
      <c r="C2" s="3" t="n">
        <v>155800</v>
      </c>
      <c r="D2" s="3" t="n">
        <v>252650</v>
      </c>
      <c r="E2" s="4" t="n">
        <v>1621</v>
      </c>
      <c r="F2" s="2" t="s">
        <v>10</v>
      </c>
      <c r="G2" s="2" t="s">
        <v>11</v>
      </c>
      <c r="H2" s="2" t="s">
        <v>12</v>
      </c>
    </row>
    <row r="3" customFormat="false" ht="15" hidden="false" customHeight="false" outlineLevel="0" collapsed="false">
      <c r="A3" s="2" t="s">
        <v>8</v>
      </c>
      <c r="B3" s="2" t="s">
        <v>13</v>
      </c>
      <c r="C3" s="3" t="n">
        <v>155390</v>
      </c>
      <c r="D3" s="3" t="n">
        <v>167110</v>
      </c>
      <c r="E3" s="4" t="n">
        <v>1075</v>
      </c>
      <c r="F3" s="2" t="s">
        <v>14</v>
      </c>
      <c r="G3" s="2" t="s">
        <v>11</v>
      </c>
      <c r="H3" s="2" t="s">
        <v>15</v>
      </c>
    </row>
    <row r="4" customFormat="false" ht="15" hidden="false" customHeight="false" outlineLevel="0" collapsed="false">
      <c r="A4" s="2" t="s">
        <v>8</v>
      </c>
      <c r="B4" s="2" t="s">
        <v>16</v>
      </c>
      <c r="C4" s="3" t="n">
        <v>155800</v>
      </c>
      <c r="D4" s="3" t="n">
        <v>164470</v>
      </c>
      <c r="E4" s="4" t="n">
        <v>1056</v>
      </c>
      <c r="F4" s="2" t="s">
        <v>17</v>
      </c>
      <c r="G4" s="2" t="s">
        <v>18</v>
      </c>
      <c r="H4" s="2" t="s">
        <v>12</v>
      </c>
    </row>
    <row r="5" customFormat="false" ht="15" hidden="false" customHeight="false" outlineLevel="0" collapsed="false">
      <c r="A5" s="2" t="s">
        <v>8</v>
      </c>
      <c r="B5" s="2" t="s">
        <v>19</v>
      </c>
      <c r="C5" s="3" t="n">
        <v>159040</v>
      </c>
      <c r="D5" s="3" t="n">
        <v>218330</v>
      </c>
      <c r="E5" s="4" t="n">
        <v>1372</v>
      </c>
      <c r="F5" s="2" t="s">
        <v>20</v>
      </c>
      <c r="G5" s="2" t="s">
        <v>18</v>
      </c>
      <c r="H5" s="2" t="s">
        <v>15</v>
      </c>
    </row>
    <row r="6" customFormat="false" ht="15" hidden="false" customHeight="false" outlineLevel="0" collapsed="false">
      <c r="A6" s="2" t="s">
        <v>8</v>
      </c>
      <c r="B6" s="2" t="s">
        <v>21</v>
      </c>
      <c r="C6" s="3" t="n">
        <v>173610</v>
      </c>
      <c r="D6" s="3" t="n">
        <v>300940</v>
      </c>
      <c r="E6" s="4" t="n">
        <v>1733</v>
      </c>
      <c r="F6" s="2" t="s">
        <v>22</v>
      </c>
      <c r="G6" s="2" t="s">
        <v>23</v>
      </c>
      <c r="H6" s="2" t="s">
        <v>12</v>
      </c>
    </row>
    <row r="7" customFormat="false" ht="15" hidden="false" customHeight="false" outlineLevel="0" collapsed="false">
      <c r="A7" s="2" t="s">
        <v>8</v>
      </c>
      <c r="B7" s="2" t="s">
        <v>24</v>
      </c>
      <c r="C7" s="3" t="n">
        <v>187770</v>
      </c>
      <c r="D7" s="3" t="n">
        <v>335230</v>
      </c>
      <c r="E7" s="5" t="n">
        <f aca="false">D7*1000/C7</f>
        <v>1785.32246897801</v>
      </c>
      <c r="F7" s="2" t="s">
        <v>25</v>
      </c>
      <c r="G7" s="2" t="s">
        <v>23</v>
      </c>
      <c r="H7" s="2" t="s">
        <v>26</v>
      </c>
    </row>
    <row r="8" customFormat="false" ht="15" hidden="false" customHeight="false" outlineLevel="0" collapsed="false">
      <c r="A8" s="2" t="s">
        <v>8</v>
      </c>
      <c r="B8" s="2" t="s">
        <v>27</v>
      </c>
      <c r="C8" s="3" t="n">
        <v>151350</v>
      </c>
      <c r="D8" s="3" t="n">
        <v>205030</v>
      </c>
      <c r="E8" s="4" t="n">
        <v>1355</v>
      </c>
      <c r="F8" s="2" t="s">
        <v>28</v>
      </c>
      <c r="G8" s="2" t="s">
        <v>29</v>
      </c>
      <c r="H8" s="2" t="s">
        <v>12</v>
      </c>
    </row>
    <row r="9" customFormat="false" ht="15" hidden="false" customHeight="false" outlineLevel="0" collapsed="false">
      <c r="A9" s="2" t="s">
        <v>8</v>
      </c>
      <c r="B9" s="2" t="s">
        <v>30</v>
      </c>
      <c r="C9" s="3" t="n">
        <v>151350</v>
      </c>
      <c r="D9" s="3" t="n">
        <v>223130</v>
      </c>
      <c r="E9" s="4" t="n">
        <v>1474</v>
      </c>
      <c r="F9" s="2" t="s">
        <v>31</v>
      </c>
      <c r="G9" s="2" t="s">
        <v>29</v>
      </c>
      <c r="H9" s="2" t="s">
        <v>15</v>
      </c>
    </row>
    <row r="10" customFormat="false" ht="15" hidden="false" customHeight="false" outlineLevel="0" collapsed="false">
      <c r="A10" s="2" t="s">
        <v>8</v>
      </c>
      <c r="B10" s="2" t="s">
        <v>32</v>
      </c>
      <c r="C10" s="3" t="n">
        <v>151350</v>
      </c>
      <c r="D10" s="3" t="n">
        <v>286930</v>
      </c>
      <c r="E10" s="4" t="n">
        <v>1895</v>
      </c>
      <c r="F10" s="2" t="s">
        <v>33</v>
      </c>
      <c r="G10" s="2" t="s">
        <v>34</v>
      </c>
      <c r="H10" s="2" t="s">
        <v>15</v>
      </c>
    </row>
    <row r="11" customFormat="false" ht="15" hidden="false" customHeight="false" outlineLevel="0" collapsed="false">
      <c r="A11" s="2" t="s">
        <v>8</v>
      </c>
      <c r="B11" s="2" t="s">
        <v>35</v>
      </c>
      <c r="C11" s="3" t="n">
        <v>203150</v>
      </c>
      <c r="D11" s="3" t="n">
        <v>359000</v>
      </c>
      <c r="E11" s="4" t="n">
        <v>1767</v>
      </c>
      <c r="F11" s="2" t="s">
        <v>36</v>
      </c>
      <c r="G11" s="2" t="s">
        <v>37</v>
      </c>
      <c r="H11" s="2" t="s">
        <v>38</v>
      </c>
    </row>
    <row r="12" customFormat="false" ht="15" hidden="false" customHeight="false" outlineLevel="0" collapsed="false">
      <c r="A12" s="2" t="s">
        <v>8</v>
      </c>
      <c r="B12" s="2" t="s">
        <v>39</v>
      </c>
      <c r="C12" s="3" t="n">
        <v>182920</v>
      </c>
      <c r="D12" s="3" t="n">
        <v>310340</v>
      </c>
      <c r="E12" s="4" t="n">
        <v>1697</v>
      </c>
      <c r="F12" s="2" t="s">
        <v>40</v>
      </c>
      <c r="G12" s="2" t="s">
        <v>37</v>
      </c>
      <c r="H12" s="2" t="s">
        <v>15</v>
      </c>
    </row>
    <row r="13" customFormat="false" ht="15" hidden="false" customHeight="false" outlineLevel="0" collapsed="false">
      <c r="A13" s="2" t="s">
        <v>8</v>
      </c>
      <c r="B13" s="2" t="s">
        <v>41</v>
      </c>
      <c r="C13" s="3" t="n">
        <v>190200</v>
      </c>
      <c r="D13" s="3" t="n">
        <v>348200</v>
      </c>
      <c r="E13" s="4" t="n">
        <v>1831</v>
      </c>
      <c r="F13" s="2" t="s">
        <v>42</v>
      </c>
      <c r="G13" s="2" t="s">
        <v>43</v>
      </c>
      <c r="H13" s="2" t="s">
        <v>15</v>
      </c>
    </row>
    <row r="14" customFormat="false" ht="15" hidden="false" customHeight="false" outlineLevel="0" collapsed="false">
      <c r="A14" s="2" t="s">
        <v>44</v>
      </c>
      <c r="B14" s="2" t="s">
        <v>9</v>
      </c>
      <c r="C14" s="3" t="n">
        <v>344780</v>
      </c>
      <c r="D14" s="3" t="n">
        <v>1076710</v>
      </c>
      <c r="E14" s="4" t="n">
        <v>3123</v>
      </c>
      <c r="F14" s="2" t="s">
        <v>10</v>
      </c>
      <c r="G14" s="2" t="s">
        <v>11</v>
      </c>
      <c r="H14" s="2" t="s">
        <v>12</v>
      </c>
    </row>
    <row r="15" customFormat="false" ht="15" hidden="false" customHeight="false" outlineLevel="0" collapsed="false">
      <c r="A15" s="2" t="s">
        <v>44</v>
      </c>
      <c r="B15" s="2" t="s">
        <v>13</v>
      </c>
      <c r="C15" s="3" t="n">
        <v>336290</v>
      </c>
      <c r="D15" s="3" t="n">
        <v>989160</v>
      </c>
      <c r="E15" s="4" t="n">
        <v>2941</v>
      </c>
      <c r="F15" s="2" t="s">
        <v>14</v>
      </c>
      <c r="G15" s="2" t="s">
        <v>11</v>
      </c>
      <c r="H15" s="2" t="s">
        <v>15</v>
      </c>
    </row>
    <row r="16" customFormat="false" ht="15" hidden="false" customHeight="false" outlineLevel="0" collapsed="false">
      <c r="A16" s="2" t="s">
        <v>44</v>
      </c>
      <c r="B16" s="2" t="s">
        <v>16</v>
      </c>
      <c r="C16" s="3" t="n">
        <v>335890</v>
      </c>
      <c r="D16" s="3" t="n">
        <v>1002070</v>
      </c>
      <c r="E16" s="4" t="n">
        <v>2984</v>
      </c>
      <c r="F16" s="2" t="s">
        <v>17</v>
      </c>
      <c r="G16" s="2" t="s">
        <v>18</v>
      </c>
      <c r="H16" s="2" t="s">
        <v>12</v>
      </c>
    </row>
    <row r="17" customFormat="false" ht="15" hidden="false" customHeight="false" outlineLevel="0" collapsed="false">
      <c r="A17" s="2" t="s">
        <v>44</v>
      </c>
      <c r="B17" s="2" t="s">
        <v>19</v>
      </c>
      <c r="C17" s="3" t="n">
        <v>358950</v>
      </c>
      <c r="D17" s="3" t="n">
        <v>1089550</v>
      </c>
      <c r="E17" s="4" t="n">
        <v>3035</v>
      </c>
      <c r="F17" s="2" t="s">
        <v>20</v>
      </c>
      <c r="G17" s="2" t="s">
        <v>18</v>
      </c>
      <c r="H17" s="2" t="s">
        <v>15</v>
      </c>
    </row>
    <row r="18" customFormat="false" ht="15" hidden="false" customHeight="false" outlineLevel="0" collapsed="false">
      <c r="A18" s="2" t="s">
        <v>44</v>
      </c>
      <c r="B18" s="2" t="s">
        <v>21</v>
      </c>
      <c r="C18" s="3" t="n">
        <v>369060</v>
      </c>
      <c r="D18" s="3" t="n">
        <v>1161200</v>
      </c>
      <c r="E18" s="4" t="n">
        <v>3146</v>
      </c>
      <c r="F18" s="2" t="s">
        <v>22</v>
      </c>
      <c r="G18" s="2" t="s">
        <v>23</v>
      </c>
      <c r="H18" s="2" t="s">
        <v>12</v>
      </c>
    </row>
    <row r="19" customFormat="false" ht="15" hidden="false" customHeight="false" outlineLevel="0" collapsed="false">
      <c r="A19" s="2" t="s">
        <v>44</v>
      </c>
      <c r="B19" s="2" t="s">
        <v>24</v>
      </c>
      <c r="C19" s="3" t="n">
        <v>371090</v>
      </c>
      <c r="D19" s="3" t="n">
        <v>1132480</v>
      </c>
      <c r="E19" s="5" t="n">
        <f aca="false">D19*1000/C19</f>
        <v>3051.76641785012</v>
      </c>
      <c r="F19" s="2" t="s">
        <v>25</v>
      </c>
      <c r="G19" s="2" t="s">
        <v>23</v>
      </c>
      <c r="H19" s="2" t="s">
        <v>26</v>
      </c>
    </row>
    <row r="20" customFormat="false" ht="15" hidden="false" customHeight="false" outlineLevel="0" collapsed="false">
      <c r="A20" s="2" t="s">
        <v>44</v>
      </c>
      <c r="B20" s="2" t="s">
        <v>27</v>
      </c>
      <c r="C20" s="3" t="n">
        <v>372710</v>
      </c>
      <c r="D20" s="3" t="n">
        <v>1218430</v>
      </c>
      <c r="E20" s="4" t="n">
        <v>3269</v>
      </c>
      <c r="F20" s="2" t="s">
        <v>28</v>
      </c>
      <c r="G20" s="2" t="s">
        <v>29</v>
      </c>
      <c r="H20" s="2" t="s">
        <v>12</v>
      </c>
    </row>
    <row r="21" customFormat="false" ht="15" hidden="false" customHeight="false" outlineLevel="0" collapsed="false">
      <c r="A21" s="2" t="s">
        <v>44</v>
      </c>
      <c r="B21" s="2" t="s">
        <v>30</v>
      </c>
      <c r="C21" s="3" t="n">
        <v>369070</v>
      </c>
      <c r="D21" s="3" t="n">
        <v>1132710</v>
      </c>
      <c r="E21" s="4" t="n">
        <v>3069</v>
      </c>
      <c r="F21" s="2" t="s">
        <v>31</v>
      </c>
      <c r="G21" s="2" t="s">
        <v>29</v>
      </c>
      <c r="H21" s="2" t="s">
        <v>15</v>
      </c>
    </row>
    <row r="22" customFormat="false" ht="15" hidden="false" customHeight="false" outlineLevel="0" collapsed="false">
      <c r="A22" s="2" t="s">
        <v>44</v>
      </c>
      <c r="B22" s="2" t="s">
        <v>32</v>
      </c>
      <c r="C22" s="3" t="n">
        <v>356920</v>
      </c>
      <c r="D22" s="3" t="n">
        <v>1158390</v>
      </c>
      <c r="E22" s="4" t="n">
        <v>3246</v>
      </c>
      <c r="F22" s="2" t="s">
        <v>33</v>
      </c>
      <c r="G22" s="2" t="s">
        <v>34</v>
      </c>
      <c r="H22" s="2" t="s">
        <v>15</v>
      </c>
    </row>
    <row r="23" customFormat="false" ht="15" hidden="false" customHeight="false" outlineLevel="0" collapsed="false">
      <c r="A23" s="2" t="s">
        <v>44</v>
      </c>
      <c r="B23" s="2" t="s">
        <v>35</v>
      </c>
      <c r="C23" s="3" t="n">
        <v>426930</v>
      </c>
      <c r="D23" s="3" t="n">
        <v>1587150</v>
      </c>
      <c r="E23" s="4" t="n">
        <v>3718</v>
      </c>
      <c r="F23" s="2" t="s">
        <v>36</v>
      </c>
      <c r="G23" s="2" t="s">
        <v>37</v>
      </c>
      <c r="H23" s="2" t="s">
        <v>12</v>
      </c>
    </row>
    <row r="24" customFormat="false" ht="15" hidden="false" customHeight="false" outlineLevel="0" collapsed="false">
      <c r="A24" s="2" t="s">
        <v>44</v>
      </c>
      <c r="B24" s="2" t="s">
        <v>39</v>
      </c>
      <c r="C24" s="3" t="n">
        <v>424910</v>
      </c>
      <c r="D24" s="3" t="n">
        <v>1513890</v>
      </c>
      <c r="E24" s="4" t="n">
        <v>3562</v>
      </c>
      <c r="F24" s="2" t="s">
        <v>40</v>
      </c>
      <c r="G24" s="2" t="s">
        <v>37</v>
      </c>
      <c r="H24" s="2" t="s">
        <v>15</v>
      </c>
    </row>
    <row r="25" customFormat="false" ht="15" hidden="false" customHeight="false" outlineLevel="0" collapsed="false">
      <c r="A25" s="2" t="s">
        <v>44</v>
      </c>
      <c r="B25" s="2" t="s">
        <v>41</v>
      </c>
      <c r="C25" s="3" t="n">
        <v>423300</v>
      </c>
      <c r="D25" s="3" t="n">
        <v>1563000</v>
      </c>
      <c r="E25" s="4" t="n">
        <v>3693</v>
      </c>
      <c r="F25" s="2" t="s">
        <v>42</v>
      </c>
      <c r="G25" s="2" t="s">
        <v>43</v>
      </c>
      <c r="H25" s="2" t="s">
        <v>15</v>
      </c>
    </row>
    <row r="26" customFormat="false" ht="15" hidden="false" customHeight="false" outlineLevel="0" collapsed="false">
      <c r="A26" s="2" t="s">
        <v>45</v>
      </c>
      <c r="B26" s="2" t="s">
        <v>9</v>
      </c>
      <c r="C26" s="3" t="n">
        <v>280440</v>
      </c>
      <c r="D26" s="3" t="n">
        <v>881900</v>
      </c>
      <c r="E26" s="4" t="n">
        <v>3145</v>
      </c>
      <c r="F26" s="2" t="s">
        <v>10</v>
      </c>
      <c r="G26" s="2" t="s">
        <v>11</v>
      </c>
      <c r="H26" s="2" t="s">
        <v>12</v>
      </c>
    </row>
    <row r="27" customFormat="false" ht="15" hidden="false" customHeight="false" outlineLevel="0" collapsed="false">
      <c r="A27" s="2" t="s">
        <v>45</v>
      </c>
      <c r="B27" s="2" t="s">
        <v>13</v>
      </c>
      <c r="C27" s="3" t="n">
        <v>262230</v>
      </c>
      <c r="D27" s="3" t="n">
        <v>836770</v>
      </c>
      <c r="E27" s="4" t="n">
        <v>3191</v>
      </c>
      <c r="F27" s="2" t="s">
        <v>14</v>
      </c>
      <c r="G27" s="2" t="s">
        <v>11</v>
      </c>
      <c r="H27" s="2" t="s">
        <v>15</v>
      </c>
    </row>
    <row r="28" customFormat="false" ht="15" hidden="false" customHeight="false" outlineLevel="0" collapsed="false">
      <c r="A28" s="2" t="s">
        <v>45</v>
      </c>
      <c r="B28" s="2" t="s">
        <v>16</v>
      </c>
      <c r="C28" s="3" t="n">
        <v>265460</v>
      </c>
      <c r="D28" s="3" t="n">
        <v>796160</v>
      </c>
      <c r="E28" s="4" t="n">
        <v>2999</v>
      </c>
      <c r="F28" s="2" t="s">
        <v>17</v>
      </c>
      <c r="G28" s="2" t="s">
        <v>18</v>
      </c>
      <c r="H28" s="2" t="s">
        <v>12</v>
      </c>
    </row>
    <row r="29" customFormat="false" ht="15" hidden="false" customHeight="false" outlineLevel="0" collapsed="false">
      <c r="A29" s="2" t="s">
        <v>45</v>
      </c>
      <c r="B29" s="2" t="s">
        <v>19</v>
      </c>
      <c r="C29" s="3" t="n">
        <v>291370</v>
      </c>
      <c r="D29" s="3" t="n">
        <v>881300</v>
      </c>
      <c r="E29" s="4" t="n">
        <v>3024</v>
      </c>
      <c r="F29" s="2" t="s">
        <v>20</v>
      </c>
      <c r="G29" s="2" t="s">
        <v>18</v>
      </c>
      <c r="H29" s="2" t="s">
        <v>15</v>
      </c>
    </row>
    <row r="30" customFormat="false" ht="15" hidden="false" customHeight="false" outlineLevel="0" collapsed="false">
      <c r="A30" s="2" t="s">
        <v>45</v>
      </c>
      <c r="B30" s="2" t="s">
        <v>21</v>
      </c>
      <c r="C30" s="3" t="n">
        <v>297040</v>
      </c>
      <c r="D30" s="3" t="n">
        <v>905110</v>
      </c>
      <c r="E30" s="4" t="n">
        <v>3047</v>
      </c>
      <c r="F30" s="2" t="s">
        <v>22</v>
      </c>
      <c r="G30" s="2" t="s">
        <v>23</v>
      </c>
      <c r="H30" s="2" t="s">
        <v>12</v>
      </c>
    </row>
    <row r="31" customFormat="false" ht="15" hidden="false" customHeight="false" outlineLevel="0" collapsed="false">
      <c r="A31" s="2" t="s">
        <v>45</v>
      </c>
      <c r="B31" s="2" t="s">
        <v>24</v>
      </c>
      <c r="C31" s="3" t="n">
        <v>300270</v>
      </c>
      <c r="D31" s="3" t="n">
        <v>969030</v>
      </c>
      <c r="E31" s="5" t="n">
        <f aca="false">D31*1000/C31</f>
        <v>3227.19552402837</v>
      </c>
      <c r="F31" s="2" t="s">
        <v>25</v>
      </c>
      <c r="G31" s="2" t="s">
        <v>23</v>
      </c>
      <c r="H31" s="2" t="s">
        <v>26</v>
      </c>
    </row>
    <row r="32" customFormat="false" ht="15" hidden="false" customHeight="false" outlineLevel="0" collapsed="false">
      <c r="A32" s="2" t="s">
        <v>45</v>
      </c>
      <c r="B32" s="2" t="s">
        <v>27</v>
      </c>
      <c r="C32" s="3" t="n">
        <v>289350</v>
      </c>
      <c r="D32" s="3" t="n">
        <v>984490</v>
      </c>
      <c r="E32" s="4" t="n">
        <v>3402</v>
      </c>
      <c r="F32" s="2" t="s">
        <v>28</v>
      </c>
      <c r="G32" s="2" t="s">
        <v>29</v>
      </c>
      <c r="H32" s="2" t="s">
        <v>12</v>
      </c>
    </row>
    <row r="33" customFormat="false" ht="15" hidden="false" customHeight="false" outlineLevel="0" collapsed="false">
      <c r="A33" s="2" t="s">
        <v>45</v>
      </c>
      <c r="B33" s="2" t="s">
        <v>30</v>
      </c>
      <c r="C33" s="3" t="n">
        <v>286110</v>
      </c>
      <c r="D33" s="3" t="n">
        <v>921880</v>
      </c>
      <c r="E33" s="4" t="n">
        <v>3222</v>
      </c>
      <c r="F33" s="2" t="s">
        <v>31</v>
      </c>
      <c r="G33" s="2" t="s">
        <v>29</v>
      </c>
      <c r="H33" s="2" t="s">
        <v>15</v>
      </c>
    </row>
    <row r="34" customFormat="false" ht="15" hidden="false" customHeight="false" outlineLevel="0" collapsed="false">
      <c r="A34" s="2" t="s">
        <v>45</v>
      </c>
      <c r="B34" s="2" t="s">
        <v>32</v>
      </c>
      <c r="C34" s="3" t="n">
        <v>285300</v>
      </c>
      <c r="D34" s="3" t="n">
        <v>860460</v>
      </c>
      <c r="E34" s="4" t="n">
        <v>3016</v>
      </c>
      <c r="F34" s="2" t="s">
        <v>33</v>
      </c>
      <c r="G34" s="2" t="s">
        <v>34</v>
      </c>
      <c r="H34" s="2" t="s">
        <v>15</v>
      </c>
    </row>
    <row r="35" customFormat="false" ht="15" hidden="false" customHeight="false" outlineLevel="0" collapsed="false">
      <c r="A35" s="2" t="s">
        <v>45</v>
      </c>
      <c r="B35" s="2" t="s">
        <v>35</v>
      </c>
      <c r="C35" s="3" t="n">
        <v>301080</v>
      </c>
      <c r="D35" s="3" t="n">
        <v>1002910</v>
      </c>
      <c r="E35" s="4" t="n">
        <v>3331</v>
      </c>
      <c r="F35" s="2" t="s">
        <v>36</v>
      </c>
      <c r="G35" s="2" t="s">
        <v>37</v>
      </c>
      <c r="H35" s="2" t="s">
        <v>12</v>
      </c>
    </row>
    <row r="36" customFormat="false" ht="15" hidden="false" customHeight="false" outlineLevel="0" collapsed="false">
      <c r="A36" s="2" t="s">
        <v>45</v>
      </c>
      <c r="B36" s="2" t="s">
        <v>39</v>
      </c>
      <c r="C36" s="3" t="n">
        <v>295820</v>
      </c>
      <c r="D36" s="3" t="n">
        <v>1052060</v>
      </c>
      <c r="E36" s="4" t="n">
        <v>3556</v>
      </c>
      <c r="F36" s="2" t="s">
        <v>40</v>
      </c>
      <c r="G36" s="2" t="s">
        <v>37</v>
      </c>
      <c r="H36" s="2" t="s">
        <v>15</v>
      </c>
    </row>
    <row r="37" customFormat="false" ht="15" hidden="false" customHeight="false" outlineLevel="0" collapsed="false">
      <c r="A37" s="2" t="s">
        <v>45</v>
      </c>
      <c r="B37" s="2" t="s">
        <v>41</v>
      </c>
      <c r="C37" s="3" t="n">
        <v>287700</v>
      </c>
      <c r="D37" s="3" t="n">
        <v>1073600</v>
      </c>
      <c r="E37" s="4" t="n">
        <v>3731</v>
      </c>
      <c r="F37" s="2" t="s">
        <v>42</v>
      </c>
      <c r="G37" s="2" t="s">
        <v>43</v>
      </c>
      <c r="H37" s="2" t="s">
        <v>15</v>
      </c>
    </row>
    <row r="38" customFormat="false" ht="15" hidden="false" customHeight="false" outlineLevel="0" collapsed="false">
      <c r="A38" s="2" t="s">
        <v>46</v>
      </c>
      <c r="B38" s="2" t="s">
        <v>9</v>
      </c>
      <c r="C38" s="3" t="n">
        <v>181700</v>
      </c>
      <c r="D38" s="3" t="n">
        <v>444420</v>
      </c>
      <c r="E38" s="4" t="n">
        <v>2446</v>
      </c>
      <c r="F38" s="2" t="s">
        <v>10</v>
      </c>
      <c r="G38" s="2" t="s">
        <v>11</v>
      </c>
      <c r="H38" s="2" t="s">
        <v>12</v>
      </c>
    </row>
    <row r="39" customFormat="false" ht="15" hidden="false" customHeight="false" outlineLevel="0" collapsed="false">
      <c r="A39" s="2" t="s">
        <v>46</v>
      </c>
      <c r="B39" s="2" t="s">
        <v>13</v>
      </c>
      <c r="C39" s="3" t="n">
        <v>173610</v>
      </c>
      <c r="D39" s="3" t="n">
        <v>387760</v>
      </c>
      <c r="E39" s="4" t="n">
        <v>2234</v>
      </c>
      <c r="F39" s="2" t="s">
        <v>14</v>
      </c>
      <c r="G39" s="2" t="s">
        <v>11</v>
      </c>
      <c r="H39" s="2" t="s">
        <v>15</v>
      </c>
    </row>
    <row r="40" customFormat="false" ht="15" hidden="false" customHeight="false" outlineLevel="0" collapsed="false">
      <c r="A40" s="2" t="s">
        <v>46</v>
      </c>
      <c r="B40" s="2" t="s">
        <v>16</v>
      </c>
      <c r="C40" s="3" t="n">
        <v>167940</v>
      </c>
      <c r="D40" s="3" t="n">
        <v>409350</v>
      </c>
      <c r="E40" s="4" t="n">
        <v>2438</v>
      </c>
      <c r="F40" s="2" t="s">
        <v>17</v>
      </c>
      <c r="G40" s="2" t="s">
        <v>18</v>
      </c>
      <c r="H40" s="2" t="s">
        <v>12</v>
      </c>
    </row>
    <row r="41" customFormat="false" ht="15" hidden="false" customHeight="false" outlineLevel="0" collapsed="false">
      <c r="A41" s="2" t="s">
        <v>46</v>
      </c>
      <c r="B41" s="2" t="s">
        <v>19</v>
      </c>
      <c r="C41" s="3" t="n">
        <v>173210</v>
      </c>
      <c r="D41" s="3" t="n">
        <v>436120</v>
      </c>
      <c r="E41" s="4" t="n">
        <v>2518</v>
      </c>
      <c r="F41" s="2" t="s">
        <v>20</v>
      </c>
      <c r="G41" s="2" t="s">
        <v>18</v>
      </c>
      <c r="H41" s="2" t="s">
        <v>15</v>
      </c>
    </row>
    <row r="42" customFormat="false" ht="15" hidden="false" customHeight="false" outlineLevel="0" collapsed="false">
      <c r="A42" s="2" t="s">
        <v>46</v>
      </c>
      <c r="B42" s="2" t="s">
        <v>21</v>
      </c>
      <c r="C42" s="3" t="n">
        <v>184940</v>
      </c>
      <c r="D42" s="3" t="n">
        <v>411700</v>
      </c>
      <c r="E42" s="4" t="n">
        <v>2226</v>
      </c>
      <c r="F42" s="2" t="s">
        <v>22</v>
      </c>
      <c r="G42" s="2" t="s">
        <v>23</v>
      </c>
      <c r="H42" s="2" t="s">
        <v>12</v>
      </c>
    </row>
    <row r="43" customFormat="false" ht="15" hidden="false" customHeight="false" outlineLevel="0" collapsed="false">
      <c r="A43" s="2" t="s">
        <v>46</v>
      </c>
      <c r="B43" s="2" t="s">
        <v>24</v>
      </c>
      <c r="C43" s="3" t="n">
        <v>180490</v>
      </c>
      <c r="D43" s="3" t="n">
        <v>411680</v>
      </c>
      <c r="E43" s="5" t="n">
        <f aca="false">D43*1000/C43</f>
        <v>2280.90198902986</v>
      </c>
      <c r="F43" s="2" t="s">
        <v>25</v>
      </c>
      <c r="G43" s="2" t="s">
        <v>23</v>
      </c>
      <c r="H43" s="2" t="s">
        <v>26</v>
      </c>
    </row>
    <row r="44" customFormat="false" ht="15" hidden="false" customHeight="false" outlineLevel="0" collapsed="false">
      <c r="A44" s="2" t="s">
        <v>46</v>
      </c>
      <c r="B44" s="2" t="s">
        <v>27</v>
      </c>
      <c r="C44" s="3" t="n">
        <v>169150</v>
      </c>
      <c r="D44" s="3" t="n">
        <v>519390</v>
      </c>
      <c r="E44" s="4" t="n">
        <v>3070</v>
      </c>
      <c r="F44" s="2" t="s">
        <v>28</v>
      </c>
      <c r="G44" s="2" t="s">
        <v>29</v>
      </c>
      <c r="H44" s="2" t="s">
        <v>12</v>
      </c>
    </row>
    <row r="45" customFormat="false" ht="15" hidden="false" customHeight="false" outlineLevel="0" collapsed="false">
      <c r="A45" s="2" t="s">
        <v>46</v>
      </c>
      <c r="B45" s="2" t="s">
        <v>30</v>
      </c>
      <c r="C45" s="3" t="n">
        <v>162280</v>
      </c>
      <c r="D45" s="3" t="n">
        <v>378200</v>
      </c>
      <c r="E45" s="4" t="n">
        <v>2331</v>
      </c>
      <c r="F45" s="2" t="s">
        <v>31</v>
      </c>
      <c r="G45" s="2" t="s">
        <v>29</v>
      </c>
      <c r="H45" s="2" t="s">
        <v>15</v>
      </c>
    </row>
    <row r="46" customFormat="false" ht="15" hidden="false" customHeight="false" outlineLevel="0" collapsed="false">
      <c r="A46" s="2" t="s">
        <v>46</v>
      </c>
      <c r="B46" s="2" t="s">
        <v>32</v>
      </c>
      <c r="C46" s="3" t="n">
        <v>150540</v>
      </c>
      <c r="D46" s="3" t="n">
        <v>331380</v>
      </c>
      <c r="E46" s="4" t="n">
        <v>2202</v>
      </c>
      <c r="F46" s="2" t="s">
        <v>33</v>
      </c>
      <c r="G46" s="2" t="s">
        <v>34</v>
      </c>
      <c r="H46" s="2" t="s">
        <v>15</v>
      </c>
    </row>
    <row r="47" customFormat="false" ht="15" hidden="false" customHeight="false" outlineLevel="0" collapsed="false">
      <c r="A47" s="2" t="s">
        <v>46</v>
      </c>
      <c r="B47" s="2" t="s">
        <v>35</v>
      </c>
      <c r="C47" s="3" t="n">
        <v>188580</v>
      </c>
      <c r="D47" s="3" t="n">
        <v>525740</v>
      </c>
      <c r="E47" s="4" t="n">
        <v>2787</v>
      </c>
      <c r="F47" s="2" t="s">
        <v>36</v>
      </c>
      <c r="G47" s="2" t="s">
        <v>37</v>
      </c>
      <c r="H47" s="2" t="s">
        <v>12</v>
      </c>
    </row>
    <row r="48" customFormat="false" ht="15" hidden="false" customHeight="false" outlineLevel="0" collapsed="false">
      <c r="A48" s="2" t="s">
        <v>46</v>
      </c>
      <c r="B48" s="2" t="s">
        <v>39</v>
      </c>
      <c r="C48" s="3" t="n">
        <v>180080</v>
      </c>
      <c r="D48" s="3" t="n">
        <v>475430</v>
      </c>
      <c r="E48" s="4" t="n">
        <v>2640</v>
      </c>
      <c r="F48" s="2" t="s">
        <v>40</v>
      </c>
      <c r="G48" s="2" t="s">
        <v>37</v>
      </c>
      <c r="H48" s="2" t="s">
        <v>15</v>
      </c>
    </row>
    <row r="49" customFormat="false" ht="15" hidden="false" customHeight="false" outlineLevel="0" collapsed="false">
      <c r="A49" s="2" t="s">
        <v>46</v>
      </c>
      <c r="B49" s="2" t="s">
        <v>41</v>
      </c>
      <c r="C49" s="3" t="n">
        <v>163100</v>
      </c>
      <c r="D49" s="3" t="n">
        <v>471700</v>
      </c>
      <c r="E49" s="4" t="n">
        <v>2892</v>
      </c>
      <c r="F49" s="2" t="s">
        <v>42</v>
      </c>
      <c r="G49" s="2" t="s">
        <v>43</v>
      </c>
      <c r="H49" s="2" t="s">
        <v>15</v>
      </c>
    </row>
    <row r="50" customFormat="false" ht="15" hidden="false" customHeight="false" outlineLevel="0" collapsed="false">
      <c r="A50" s="2" t="s">
        <v>47</v>
      </c>
      <c r="B50" s="2" t="s">
        <v>9</v>
      </c>
      <c r="C50" s="3" t="n">
        <v>126260</v>
      </c>
      <c r="D50" s="3" t="n">
        <v>165930</v>
      </c>
      <c r="E50" s="4" t="n">
        <v>1314</v>
      </c>
      <c r="F50" s="2" t="s">
        <v>10</v>
      </c>
      <c r="G50" s="2" t="s">
        <v>11</v>
      </c>
      <c r="H50" s="2" t="s">
        <v>12</v>
      </c>
    </row>
    <row r="51" customFormat="false" ht="15" hidden="false" customHeight="false" outlineLevel="0" collapsed="false">
      <c r="A51" s="2" t="s">
        <v>47</v>
      </c>
      <c r="B51" s="2" t="s">
        <v>13</v>
      </c>
      <c r="C51" s="3" t="n">
        <v>121810</v>
      </c>
      <c r="D51" s="3" t="n">
        <v>112910</v>
      </c>
      <c r="E51" s="4" t="n">
        <v>927</v>
      </c>
      <c r="F51" s="2" t="s">
        <v>14</v>
      </c>
      <c r="G51" s="2" t="s">
        <v>11</v>
      </c>
      <c r="H51" s="2" t="s">
        <v>15</v>
      </c>
    </row>
    <row r="52" customFormat="false" ht="15" hidden="false" customHeight="false" outlineLevel="0" collapsed="false">
      <c r="A52" s="2" t="s">
        <v>47</v>
      </c>
      <c r="B52" s="2" t="s">
        <v>16</v>
      </c>
      <c r="C52" s="3" t="n">
        <v>117760</v>
      </c>
      <c r="D52" s="3" t="n">
        <v>191450</v>
      </c>
      <c r="E52" s="4" t="n">
        <v>1626</v>
      </c>
      <c r="F52" s="2" t="s">
        <v>17</v>
      </c>
      <c r="G52" s="2" t="s">
        <v>18</v>
      </c>
      <c r="H52" s="2" t="s">
        <v>12</v>
      </c>
    </row>
    <row r="53" customFormat="false" ht="15" hidden="false" customHeight="false" outlineLevel="0" collapsed="false">
      <c r="A53" s="2" t="s">
        <v>47</v>
      </c>
      <c r="B53" s="2" t="s">
        <v>19</v>
      </c>
      <c r="C53" s="3" t="n">
        <v>120190</v>
      </c>
      <c r="D53" s="3" t="n">
        <v>157630</v>
      </c>
      <c r="E53" s="4" t="n">
        <v>1312</v>
      </c>
      <c r="F53" s="2" t="s">
        <v>20</v>
      </c>
      <c r="G53" s="2" t="s">
        <v>18</v>
      </c>
      <c r="H53" s="2" t="s">
        <v>15</v>
      </c>
    </row>
    <row r="54" customFormat="false" ht="15" hidden="false" customHeight="false" outlineLevel="0" collapsed="false">
      <c r="A54" s="2" t="s">
        <v>47</v>
      </c>
      <c r="B54" s="2" t="s">
        <v>21</v>
      </c>
      <c r="C54" s="3" t="n">
        <v>119380</v>
      </c>
      <c r="D54" s="3" t="n">
        <v>197740</v>
      </c>
      <c r="E54" s="4" t="n">
        <v>1656</v>
      </c>
      <c r="F54" s="2" t="s">
        <v>22</v>
      </c>
      <c r="G54" s="2" t="s">
        <v>23</v>
      </c>
      <c r="H54" s="2" t="s">
        <v>12</v>
      </c>
    </row>
    <row r="55" customFormat="false" ht="15" hidden="false" customHeight="false" outlineLevel="0" collapsed="false">
      <c r="A55" s="2" t="s">
        <v>47</v>
      </c>
      <c r="B55" s="2" t="s">
        <v>24</v>
      </c>
      <c r="C55" s="3" t="n">
        <v>129900</v>
      </c>
      <c r="D55" s="3" t="n">
        <v>233880</v>
      </c>
      <c r="E55" s="5" t="n">
        <f aca="false">D55*1000/C55</f>
        <v>1800.46189376443</v>
      </c>
      <c r="F55" s="2" t="s">
        <v>25</v>
      </c>
      <c r="G55" s="2" t="s">
        <v>23</v>
      </c>
      <c r="H55" s="2" t="s">
        <v>26</v>
      </c>
    </row>
    <row r="56" customFormat="false" ht="15" hidden="false" customHeight="false" outlineLevel="0" collapsed="false">
      <c r="A56" s="2" t="s">
        <v>47</v>
      </c>
      <c r="B56" s="2" t="s">
        <v>27</v>
      </c>
      <c r="C56" s="3" t="n">
        <v>115330</v>
      </c>
      <c r="D56" s="3" t="n">
        <v>143290</v>
      </c>
      <c r="E56" s="4" t="n">
        <v>1242</v>
      </c>
      <c r="F56" s="2" t="s">
        <v>28</v>
      </c>
      <c r="G56" s="2" t="s">
        <v>29</v>
      </c>
      <c r="H56" s="2" t="s">
        <v>12</v>
      </c>
    </row>
    <row r="57" customFormat="false" ht="15" hidden="false" customHeight="false" outlineLevel="0" collapsed="false">
      <c r="A57" s="2" t="s">
        <v>47</v>
      </c>
      <c r="B57" s="2" t="s">
        <v>30</v>
      </c>
      <c r="C57" s="3" t="n">
        <v>116140</v>
      </c>
      <c r="D57" s="3" t="n">
        <v>129230</v>
      </c>
      <c r="E57" s="4" t="n">
        <v>1112</v>
      </c>
      <c r="F57" s="2" t="s">
        <v>31</v>
      </c>
      <c r="G57" s="2" t="s">
        <v>29</v>
      </c>
      <c r="H57" s="2" t="s">
        <v>15</v>
      </c>
    </row>
    <row r="58" customFormat="false" ht="15" hidden="false" customHeight="false" outlineLevel="0" collapsed="false">
      <c r="A58" s="2" t="s">
        <v>47</v>
      </c>
      <c r="B58" s="2" t="s">
        <v>32</v>
      </c>
      <c r="C58" s="3" t="n">
        <v>119790</v>
      </c>
      <c r="D58" s="3" t="n">
        <v>160100</v>
      </c>
      <c r="E58" s="4" t="n">
        <v>1336</v>
      </c>
      <c r="F58" s="2" t="s">
        <v>33</v>
      </c>
      <c r="G58" s="2" t="s">
        <v>34</v>
      </c>
      <c r="H58" s="2" t="s">
        <v>15</v>
      </c>
    </row>
    <row r="59" customFormat="false" ht="15" hidden="false" customHeight="false" outlineLevel="0" collapsed="false">
      <c r="A59" s="2" t="s">
        <v>47</v>
      </c>
      <c r="B59" s="2" t="s">
        <v>35</v>
      </c>
      <c r="C59" s="3" t="n">
        <v>154990</v>
      </c>
      <c r="D59" s="3" t="n">
        <v>260750</v>
      </c>
      <c r="E59" s="4" t="n">
        <v>1682</v>
      </c>
      <c r="F59" s="2" t="s">
        <v>36</v>
      </c>
      <c r="G59" s="2" t="s">
        <v>37</v>
      </c>
      <c r="H59" s="2" t="s">
        <v>12</v>
      </c>
    </row>
    <row r="60" customFormat="false" ht="15" hidden="false" customHeight="false" outlineLevel="0" collapsed="false">
      <c r="A60" s="2" t="s">
        <v>47</v>
      </c>
      <c r="B60" s="2" t="s">
        <v>39</v>
      </c>
      <c r="C60" s="3" t="n">
        <v>150530</v>
      </c>
      <c r="D60" s="3" t="n">
        <v>252020</v>
      </c>
      <c r="E60" s="4" t="n">
        <v>1673</v>
      </c>
      <c r="F60" s="2" t="s">
        <v>40</v>
      </c>
      <c r="G60" s="2" t="s">
        <v>37</v>
      </c>
      <c r="H60" s="2" t="s">
        <v>15</v>
      </c>
    </row>
    <row r="61" customFormat="false" ht="15" hidden="false" customHeight="false" outlineLevel="0" collapsed="false">
      <c r="A61" s="2" t="s">
        <v>47</v>
      </c>
      <c r="B61" s="2" t="s">
        <v>41</v>
      </c>
      <c r="C61" s="3" t="n">
        <v>100800</v>
      </c>
      <c r="D61" s="3" t="n">
        <v>178500</v>
      </c>
      <c r="E61" s="4" t="n">
        <v>1771</v>
      </c>
      <c r="F61" s="2" t="s">
        <v>42</v>
      </c>
      <c r="G61" s="2" t="s">
        <v>43</v>
      </c>
      <c r="H61" s="2" t="s">
        <v>48</v>
      </c>
    </row>
    <row r="62" customFormat="false" ht="15" hidden="false" customHeight="false" outlineLevel="0" collapsed="false">
      <c r="A62" s="2" t="s">
        <v>49</v>
      </c>
      <c r="B62" s="2" t="s">
        <v>9</v>
      </c>
      <c r="C62" s="3" t="n">
        <v>107650</v>
      </c>
      <c r="D62" s="3" t="n">
        <v>334880</v>
      </c>
      <c r="E62" s="4" t="n">
        <v>3111</v>
      </c>
      <c r="F62" s="2" t="s">
        <v>10</v>
      </c>
      <c r="G62" s="2" t="s">
        <v>11</v>
      </c>
      <c r="H62" s="2" t="s">
        <v>12</v>
      </c>
    </row>
    <row r="63" customFormat="false" ht="15" hidden="false" customHeight="false" outlineLevel="0" collapsed="false">
      <c r="A63" s="2" t="s">
        <v>49</v>
      </c>
      <c r="B63" s="2" t="s">
        <v>13</v>
      </c>
      <c r="C63" s="3" t="n">
        <v>97930</v>
      </c>
      <c r="D63" s="3" t="n">
        <v>301330</v>
      </c>
      <c r="E63" s="4" t="n">
        <v>3077</v>
      </c>
      <c r="F63" s="2" t="s">
        <v>14</v>
      </c>
      <c r="G63" s="2" t="s">
        <v>11</v>
      </c>
      <c r="H63" s="2" t="s">
        <v>15</v>
      </c>
    </row>
    <row r="64" customFormat="false" ht="15" hidden="false" customHeight="false" outlineLevel="0" collapsed="false">
      <c r="A64" s="2" t="s">
        <v>49</v>
      </c>
      <c r="B64" s="2" t="s">
        <v>16</v>
      </c>
      <c r="C64" s="3" t="n">
        <v>95910</v>
      </c>
      <c r="D64" s="3" t="n">
        <v>298900</v>
      </c>
      <c r="E64" s="4" t="n">
        <v>3117</v>
      </c>
      <c r="F64" s="2" t="s">
        <v>17</v>
      </c>
      <c r="G64" s="2" t="s">
        <v>18</v>
      </c>
      <c r="H64" s="2" t="s">
        <v>12</v>
      </c>
    </row>
    <row r="65" customFormat="false" ht="15" hidden="false" customHeight="false" outlineLevel="0" collapsed="false">
      <c r="A65" s="2" t="s">
        <v>49</v>
      </c>
      <c r="B65" s="2" t="s">
        <v>19</v>
      </c>
      <c r="C65" s="3" t="n">
        <v>119790</v>
      </c>
      <c r="D65" s="3" t="n">
        <v>376740</v>
      </c>
      <c r="E65" s="4" t="n">
        <v>3145</v>
      </c>
      <c r="F65" s="2" t="s">
        <v>20</v>
      </c>
      <c r="G65" s="2" t="s">
        <v>18</v>
      </c>
      <c r="H65" s="2" t="s">
        <v>15</v>
      </c>
    </row>
    <row r="66" customFormat="false" ht="15" hidden="false" customHeight="false" outlineLevel="0" collapsed="false">
      <c r="A66" s="2" t="s">
        <v>49</v>
      </c>
      <c r="B66" s="2" t="s">
        <v>21</v>
      </c>
      <c r="C66" s="3" t="n">
        <v>119790</v>
      </c>
      <c r="D66" s="3" t="n">
        <v>347900</v>
      </c>
      <c r="E66" s="4" t="n">
        <v>2904</v>
      </c>
      <c r="F66" s="2" t="s">
        <v>22</v>
      </c>
      <c r="G66" s="2" t="s">
        <v>23</v>
      </c>
      <c r="H66" s="2" t="s">
        <v>12</v>
      </c>
    </row>
    <row r="67" customFormat="false" ht="15" hidden="false" customHeight="false" outlineLevel="0" collapsed="false">
      <c r="A67" s="2" t="s">
        <v>49</v>
      </c>
      <c r="B67" s="2" t="s">
        <v>24</v>
      </c>
      <c r="C67" s="3" t="n">
        <v>108050</v>
      </c>
      <c r="D67" s="3" t="n">
        <v>316610</v>
      </c>
      <c r="E67" s="4" t="n">
        <v>2930</v>
      </c>
      <c r="F67" s="2" t="s">
        <v>25</v>
      </c>
      <c r="G67" s="2" t="s">
        <v>23</v>
      </c>
      <c r="H67" s="2" t="s">
        <v>15</v>
      </c>
    </row>
    <row r="68" customFormat="false" ht="15" hidden="false" customHeight="false" outlineLevel="0" collapsed="false">
      <c r="A68" s="2" t="s">
        <v>49</v>
      </c>
      <c r="B68" s="2" t="s">
        <v>27</v>
      </c>
      <c r="C68" s="3" t="n">
        <v>104810</v>
      </c>
      <c r="D68" s="3" t="n">
        <v>320950</v>
      </c>
      <c r="E68" s="4" t="n">
        <v>3062</v>
      </c>
      <c r="F68" s="2" t="s">
        <v>28</v>
      </c>
      <c r="G68" s="2" t="s">
        <v>29</v>
      </c>
      <c r="H68" s="2" t="s">
        <v>12</v>
      </c>
    </row>
    <row r="69" customFormat="false" ht="15" hidden="false" customHeight="false" outlineLevel="0" collapsed="false">
      <c r="A69" s="2" t="s">
        <v>49</v>
      </c>
      <c r="B69" s="2" t="s">
        <v>30</v>
      </c>
      <c r="C69" s="3" t="n">
        <v>114520</v>
      </c>
      <c r="D69" s="3" t="n">
        <v>340860</v>
      </c>
      <c r="E69" s="4" t="n">
        <v>2976</v>
      </c>
      <c r="F69" s="2" t="s">
        <v>31</v>
      </c>
      <c r="G69" s="2" t="s">
        <v>29</v>
      </c>
      <c r="H69" s="2" t="s">
        <v>15</v>
      </c>
    </row>
    <row r="70" customFormat="false" ht="15" hidden="false" customHeight="false" outlineLevel="0" collapsed="false">
      <c r="A70" s="2" t="s">
        <v>49</v>
      </c>
      <c r="B70" s="2" t="s">
        <v>32</v>
      </c>
      <c r="C70" s="3" t="n">
        <v>111290</v>
      </c>
      <c r="D70" s="3" t="n">
        <v>322300</v>
      </c>
      <c r="E70" s="4" t="n">
        <v>2896</v>
      </c>
      <c r="F70" s="2" t="s">
        <v>33</v>
      </c>
      <c r="G70" s="2" t="s">
        <v>34</v>
      </c>
      <c r="H70" s="2" t="s">
        <v>15</v>
      </c>
    </row>
    <row r="71" customFormat="false" ht="15" hidden="false" customHeight="false" outlineLevel="0" collapsed="false">
      <c r="A71" s="2" t="s">
        <v>49</v>
      </c>
      <c r="B71" s="2" t="s">
        <v>35</v>
      </c>
      <c r="C71" s="3" t="n">
        <v>102380</v>
      </c>
      <c r="D71" s="3" t="n">
        <v>341250</v>
      </c>
      <c r="E71" s="4" t="n">
        <v>3333</v>
      </c>
      <c r="F71" s="2" t="s">
        <v>36</v>
      </c>
      <c r="G71" s="2" t="s">
        <v>37</v>
      </c>
      <c r="H71" s="2" t="s">
        <v>12</v>
      </c>
    </row>
    <row r="72" customFormat="false" ht="15" hidden="false" customHeight="false" outlineLevel="0" collapsed="false">
      <c r="A72" s="2" t="s">
        <v>49</v>
      </c>
      <c r="B72" s="2" t="s">
        <v>39</v>
      </c>
      <c r="C72" s="3" t="n">
        <v>96720</v>
      </c>
      <c r="D72" s="3" t="n">
        <v>331920</v>
      </c>
      <c r="E72" s="4" t="n">
        <v>3432</v>
      </c>
      <c r="F72" s="2" t="s">
        <v>40</v>
      </c>
      <c r="G72" s="2" t="s">
        <v>37</v>
      </c>
      <c r="H72" s="2" t="s">
        <v>15</v>
      </c>
    </row>
    <row r="73" customFormat="false" ht="15" hidden="false" customHeight="false" outlineLevel="0" collapsed="false">
      <c r="A73" s="2" t="s">
        <v>49</v>
      </c>
      <c r="B73" s="2" t="s">
        <v>41</v>
      </c>
      <c r="C73" s="3" t="n">
        <v>98300</v>
      </c>
      <c r="D73" s="3" t="n">
        <v>368000</v>
      </c>
      <c r="E73" s="4" t="n">
        <v>3742</v>
      </c>
      <c r="F73" s="2" t="s">
        <v>42</v>
      </c>
      <c r="G73" s="2" t="s">
        <v>43</v>
      </c>
      <c r="H73" s="2" t="s">
        <v>15</v>
      </c>
    </row>
    <row r="74" customFormat="false" ht="15" hidden="false" customHeight="false" outlineLevel="0" collapsed="false">
      <c r="A74" s="2" t="s">
        <v>50</v>
      </c>
      <c r="B74" s="2" t="s">
        <v>9</v>
      </c>
      <c r="C74" s="3" t="n">
        <v>175220</v>
      </c>
      <c r="D74" s="3" t="n">
        <v>463560</v>
      </c>
      <c r="E74" s="4" t="n">
        <v>2645</v>
      </c>
      <c r="F74" s="2" t="s">
        <v>10</v>
      </c>
      <c r="G74" s="2" t="s">
        <v>11</v>
      </c>
      <c r="H74" s="2" t="s">
        <v>12</v>
      </c>
    </row>
    <row r="75" customFormat="false" ht="15" hidden="false" customHeight="false" outlineLevel="0" collapsed="false">
      <c r="A75" s="2" t="s">
        <v>50</v>
      </c>
      <c r="B75" s="2" t="s">
        <v>13</v>
      </c>
      <c r="C75" s="3" t="n">
        <v>168350</v>
      </c>
      <c r="D75" s="3" t="n">
        <v>447850</v>
      </c>
      <c r="E75" s="4" t="n">
        <v>2660</v>
      </c>
      <c r="F75" s="2" t="s">
        <v>14</v>
      </c>
      <c r="G75" s="2" t="s">
        <v>11</v>
      </c>
      <c r="H75" s="2" t="s">
        <v>15</v>
      </c>
    </row>
    <row r="76" customFormat="false" ht="15" hidden="false" customHeight="false" outlineLevel="0" collapsed="false">
      <c r="A76" s="2" t="s">
        <v>50</v>
      </c>
      <c r="B76" s="2" t="s">
        <v>16</v>
      </c>
      <c r="C76" s="3" t="n">
        <v>165510</v>
      </c>
      <c r="D76" s="3" t="n">
        <v>471740</v>
      </c>
      <c r="E76" s="4" t="n">
        <v>2850</v>
      </c>
      <c r="F76" s="2" t="s">
        <v>17</v>
      </c>
      <c r="G76" s="2" t="s">
        <v>18</v>
      </c>
      <c r="H76" s="2" t="s">
        <v>12</v>
      </c>
    </row>
    <row r="77" customFormat="false" ht="15" hidden="false" customHeight="false" outlineLevel="0" collapsed="false">
      <c r="A77" s="2" t="s">
        <v>50</v>
      </c>
      <c r="B77" s="2" t="s">
        <v>19</v>
      </c>
      <c r="C77" s="3" t="n">
        <v>176850</v>
      </c>
      <c r="D77" s="3" t="n">
        <v>515480</v>
      </c>
      <c r="E77" s="4" t="n">
        <v>2915</v>
      </c>
      <c r="F77" s="2" t="s">
        <v>20</v>
      </c>
      <c r="G77" s="2" t="s">
        <v>18</v>
      </c>
      <c r="H77" s="2" t="s">
        <v>15</v>
      </c>
    </row>
    <row r="78" customFormat="false" ht="15" hidden="false" customHeight="false" outlineLevel="0" collapsed="false">
      <c r="A78" s="2" t="s">
        <v>50</v>
      </c>
      <c r="B78" s="2" t="s">
        <v>21</v>
      </c>
      <c r="C78" s="3" t="n">
        <v>186970</v>
      </c>
      <c r="D78" s="3" t="n">
        <v>558030</v>
      </c>
      <c r="E78" s="4" t="n">
        <v>2985</v>
      </c>
      <c r="F78" s="2" t="s">
        <v>22</v>
      </c>
      <c r="G78" s="2" t="s">
        <v>23</v>
      </c>
      <c r="H78" s="2" t="s">
        <v>12</v>
      </c>
    </row>
    <row r="79" customFormat="false" ht="15" hidden="false" customHeight="false" outlineLevel="0" collapsed="false">
      <c r="A79" s="2" t="s">
        <v>50</v>
      </c>
      <c r="B79" s="2" t="s">
        <v>24</v>
      </c>
      <c r="C79" s="3" t="n">
        <v>191000</v>
      </c>
      <c r="D79" s="3" t="n">
        <v>527690</v>
      </c>
      <c r="E79" s="5" t="n">
        <f aca="false">D79*1000/C79</f>
        <v>2762.77486910995</v>
      </c>
      <c r="F79" s="2" t="s">
        <v>25</v>
      </c>
      <c r="G79" s="2" t="s">
        <v>23</v>
      </c>
      <c r="H79" s="2" t="s">
        <v>26</v>
      </c>
    </row>
    <row r="80" customFormat="false" ht="15" hidden="false" customHeight="false" outlineLevel="0" collapsed="false">
      <c r="A80" s="2" t="s">
        <v>50</v>
      </c>
      <c r="B80" s="2" t="s">
        <v>27</v>
      </c>
      <c r="C80" s="3" t="n">
        <v>183720</v>
      </c>
      <c r="D80" s="3" t="n">
        <v>590890</v>
      </c>
      <c r="E80" s="4" t="n">
        <v>3216</v>
      </c>
      <c r="F80" s="2" t="s">
        <v>28</v>
      </c>
      <c r="G80" s="2" t="s">
        <v>29</v>
      </c>
      <c r="H80" s="2" t="s">
        <v>12</v>
      </c>
    </row>
    <row r="81" customFormat="false" ht="15" hidden="false" customHeight="false" outlineLevel="0" collapsed="false">
      <c r="A81" s="2" t="s">
        <v>50</v>
      </c>
      <c r="B81" s="2" t="s">
        <v>30</v>
      </c>
      <c r="C81" s="3" t="n">
        <v>180480</v>
      </c>
      <c r="D81" s="3" t="n">
        <v>547750</v>
      </c>
      <c r="E81" s="4" t="n">
        <v>3034</v>
      </c>
      <c r="F81" s="2" t="s">
        <v>31</v>
      </c>
      <c r="G81" s="2" t="s">
        <v>29</v>
      </c>
      <c r="H81" s="2" t="s">
        <v>15</v>
      </c>
    </row>
    <row r="82" customFormat="false" ht="15" hidden="false" customHeight="false" outlineLevel="0" collapsed="false">
      <c r="A82" s="2" t="s">
        <v>50</v>
      </c>
      <c r="B82" s="2" t="s">
        <v>32</v>
      </c>
      <c r="C82" s="3" t="n">
        <v>183320</v>
      </c>
      <c r="D82" s="3" t="n">
        <v>524920</v>
      </c>
      <c r="E82" s="4" t="n">
        <v>2864</v>
      </c>
      <c r="F82" s="2" t="s">
        <v>33</v>
      </c>
      <c r="G82" s="2" t="s">
        <v>34</v>
      </c>
      <c r="H82" s="2" t="s">
        <v>15</v>
      </c>
    </row>
    <row r="83" customFormat="false" ht="15" hidden="false" customHeight="false" outlineLevel="0" collapsed="false">
      <c r="A83" s="2" t="s">
        <v>50</v>
      </c>
      <c r="B83" s="2" t="s">
        <v>35</v>
      </c>
      <c r="C83" s="3" t="n">
        <v>233500</v>
      </c>
      <c r="D83" s="3" t="n">
        <v>760260</v>
      </c>
      <c r="E83" s="4" t="n">
        <v>3256</v>
      </c>
      <c r="F83" s="2" t="s">
        <v>36</v>
      </c>
      <c r="G83" s="2" t="s">
        <v>37</v>
      </c>
      <c r="H83" s="2" t="s">
        <v>12</v>
      </c>
    </row>
    <row r="84" customFormat="false" ht="15" hidden="false" customHeight="false" outlineLevel="0" collapsed="false">
      <c r="A84" s="2" t="s">
        <v>50</v>
      </c>
      <c r="B84" s="2" t="s">
        <v>39</v>
      </c>
      <c r="C84" s="3" t="n">
        <v>237950</v>
      </c>
      <c r="D84" s="3" t="n">
        <v>755460</v>
      </c>
      <c r="E84" s="4" t="n">
        <v>3175</v>
      </c>
      <c r="F84" s="2" t="s">
        <v>40</v>
      </c>
      <c r="G84" s="2" t="s">
        <v>37</v>
      </c>
      <c r="H84" s="2" t="s">
        <v>15</v>
      </c>
    </row>
    <row r="85" customFormat="false" ht="15" hidden="false" customHeight="false" outlineLevel="0" collapsed="false">
      <c r="A85" s="2" t="s">
        <v>50</v>
      </c>
      <c r="B85" s="2" t="s">
        <v>41</v>
      </c>
      <c r="C85" s="3" t="n">
        <v>220600</v>
      </c>
      <c r="D85" s="3" t="n">
        <v>739500</v>
      </c>
      <c r="E85" s="4" t="n">
        <v>3353</v>
      </c>
      <c r="F85" s="2" t="s">
        <v>42</v>
      </c>
      <c r="G85" s="2" t="s">
        <v>43</v>
      </c>
      <c r="H85" s="2" t="s">
        <v>15</v>
      </c>
    </row>
    <row r="86" customFormat="false" ht="15" hidden="false" customHeight="false" outlineLevel="0" collapsed="false">
      <c r="A86" s="2" t="s">
        <v>51</v>
      </c>
      <c r="B86" s="2" t="s">
        <v>9</v>
      </c>
      <c r="C86" s="3" t="n">
        <v>283680</v>
      </c>
      <c r="D86" s="3" t="n">
        <v>897440</v>
      </c>
      <c r="E86" s="4" t="n">
        <v>3164</v>
      </c>
      <c r="F86" s="2" t="s">
        <v>10</v>
      </c>
      <c r="G86" s="2" t="s">
        <v>11</v>
      </c>
      <c r="H86" s="2" t="s">
        <v>12</v>
      </c>
    </row>
    <row r="87" customFormat="false" ht="15" hidden="false" customHeight="false" outlineLevel="0" collapsed="false">
      <c r="A87" s="2" t="s">
        <v>51</v>
      </c>
      <c r="B87" s="2" t="s">
        <v>13</v>
      </c>
      <c r="C87" s="3" t="n">
        <v>281250</v>
      </c>
      <c r="D87" s="3" t="n">
        <v>855780</v>
      </c>
      <c r="E87" s="4" t="n">
        <v>3043</v>
      </c>
      <c r="F87" s="2" t="s">
        <v>14</v>
      </c>
      <c r="G87" s="2" t="s">
        <v>11</v>
      </c>
      <c r="H87" s="2" t="s">
        <v>15</v>
      </c>
    </row>
    <row r="88" customFormat="false" ht="15" hidden="false" customHeight="false" outlineLevel="0" collapsed="false">
      <c r="A88" s="2" t="s">
        <v>51</v>
      </c>
      <c r="B88" s="2" t="s">
        <v>16</v>
      </c>
      <c r="C88" s="3" t="n">
        <v>277200</v>
      </c>
      <c r="D88" s="3" t="n">
        <v>864940</v>
      </c>
      <c r="E88" s="4" t="n">
        <v>3120</v>
      </c>
      <c r="F88" s="2" t="s">
        <v>17</v>
      </c>
      <c r="G88" s="2" t="s">
        <v>18</v>
      </c>
      <c r="H88" s="2" t="s">
        <v>12</v>
      </c>
    </row>
    <row r="89" customFormat="false" ht="15" hidden="false" customHeight="false" outlineLevel="0" collapsed="false">
      <c r="A89" s="2" t="s">
        <v>51</v>
      </c>
      <c r="B89" s="2" t="s">
        <v>19</v>
      </c>
      <c r="C89" s="3" t="n">
        <v>301490</v>
      </c>
      <c r="D89" s="3" t="n">
        <v>949880</v>
      </c>
      <c r="E89" s="4" t="n">
        <v>3151</v>
      </c>
      <c r="F89" s="2" t="s">
        <v>20</v>
      </c>
      <c r="G89" s="2" t="s">
        <v>18</v>
      </c>
      <c r="H89" s="2" t="s">
        <v>15</v>
      </c>
    </row>
    <row r="90" customFormat="false" ht="15" hidden="false" customHeight="false" outlineLevel="0" collapsed="false">
      <c r="A90" s="2" t="s">
        <v>51</v>
      </c>
      <c r="B90" s="2" t="s">
        <v>21</v>
      </c>
      <c r="C90" s="3" t="n">
        <v>305530</v>
      </c>
      <c r="D90" s="3" t="n">
        <v>977570</v>
      </c>
      <c r="E90" s="4" t="n">
        <v>3200</v>
      </c>
      <c r="F90" s="2" t="s">
        <v>22</v>
      </c>
      <c r="G90" s="2" t="s">
        <v>23</v>
      </c>
      <c r="H90" s="2" t="s">
        <v>12</v>
      </c>
    </row>
    <row r="91" customFormat="false" ht="15" hidden="false" customHeight="false" outlineLevel="0" collapsed="false">
      <c r="A91" s="2" t="s">
        <v>51</v>
      </c>
      <c r="B91" s="2" t="s">
        <v>24</v>
      </c>
      <c r="C91" s="3" t="n">
        <v>300670</v>
      </c>
      <c r="D91" s="3" t="n">
        <v>944830</v>
      </c>
      <c r="E91" s="4" t="n">
        <v>3142</v>
      </c>
      <c r="F91" s="2" t="s">
        <v>25</v>
      </c>
      <c r="G91" s="2" t="s">
        <v>23</v>
      </c>
      <c r="H91" s="2" t="s">
        <v>15</v>
      </c>
    </row>
    <row r="92" customFormat="false" ht="15" hidden="false" customHeight="false" outlineLevel="0" collapsed="false">
      <c r="A92" s="2" t="s">
        <v>51</v>
      </c>
      <c r="B92" s="2" t="s">
        <v>27</v>
      </c>
      <c r="C92" s="3" t="n">
        <v>288940</v>
      </c>
      <c r="D92" s="3" t="n">
        <v>947130</v>
      </c>
      <c r="E92" s="4" t="n">
        <v>3278</v>
      </c>
      <c r="F92" s="2" t="s">
        <v>28</v>
      </c>
      <c r="G92" s="2" t="s">
        <v>29</v>
      </c>
      <c r="H92" s="2" t="s">
        <v>12</v>
      </c>
    </row>
    <row r="93" customFormat="false" ht="15" hidden="false" customHeight="false" outlineLevel="0" collapsed="false">
      <c r="A93" s="2" t="s">
        <v>51</v>
      </c>
      <c r="B93" s="2" t="s">
        <v>30</v>
      </c>
      <c r="C93" s="3" t="n">
        <v>268710</v>
      </c>
      <c r="D93" s="3" t="n">
        <v>861480</v>
      </c>
      <c r="E93" s="4" t="n">
        <v>3206</v>
      </c>
      <c r="F93" s="2" t="s">
        <v>31</v>
      </c>
      <c r="G93" s="2" t="s">
        <v>29</v>
      </c>
      <c r="H93" s="2" t="s">
        <v>15</v>
      </c>
    </row>
    <row r="94" customFormat="false" ht="15" hidden="false" customHeight="false" outlineLevel="0" collapsed="false">
      <c r="A94" s="2" t="s">
        <v>51</v>
      </c>
      <c r="B94" s="2" t="s">
        <v>32</v>
      </c>
      <c r="C94" s="3" t="n">
        <v>269920</v>
      </c>
      <c r="D94" s="3" t="n">
        <v>844950</v>
      </c>
      <c r="E94" s="4" t="n">
        <v>3130</v>
      </c>
      <c r="F94" s="2" t="s">
        <v>33</v>
      </c>
      <c r="G94" s="2" t="s">
        <v>34</v>
      </c>
      <c r="H94" s="2" t="s">
        <v>15</v>
      </c>
    </row>
    <row r="95" customFormat="false" ht="15" hidden="false" customHeight="false" outlineLevel="0" collapsed="false">
      <c r="A95" s="2" t="s">
        <v>51</v>
      </c>
      <c r="B95" s="2" t="s">
        <v>35</v>
      </c>
      <c r="C95" s="3" t="n">
        <v>254540</v>
      </c>
      <c r="D95" s="3" t="n">
        <v>844620</v>
      </c>
      <c r="E95" s="4" t="n">
        <v>3318</v>
      </c>
      <c r="F95" s="2" t="s">
        <v>36</v>
      </c>
      <c r="G95" s="2" t="s">
        <v>37</v>
      </c>
      <c r="H95" s="2" t="s">
        <v>12</v>
      </c>
    </row>
    <row r="96" customFormat="false" ht="15" hidden="false" customHeight="false" outlineLevel="0" collapsed="false">
      <c r="A96" s="2" t="s">
        <v>51</v>
      </c>
      <c r="B96" s="2" t="s">
        <v>39</v>
      </c>
      <c r="C96" s="3" t="n">
        <v>240780</v>
      </c>
      <c r="D96" s="3" t="n">
        <v>788730</v>
      </c>
      <c r="E96" s="4" t="n">
        <v>3276</v>
      </c>
      <c r="F96" s="2" t="s">
        <v>40</v>
      </c>
      <c r="G96" s="2" t="s">
        <v>37</v>
      </c>
      <c r="H96" s="2" t="s">
        <v>15</v>
      </c>
    </row>
    <row r="97" customFormat="false" ht="15" hidden="false" customHeight="false" outlineLevel="0" collapsed="false">
      <c r="A97" s="2" t="s">
        <v>51</v>
      </c>
      <c r="B97" s="2" t="s">
        <v>41</v>
      </c>
      <c r="C97" s="3" t="n">
        <v>233100</v>
      </c>
      <c r="D97" s="3" t="n">
        <v>852900</v>
      </c>
      <c r="E97" s="4" t="n">
        <v>3659</v>
      </c>
      <c r="F97" s="2" t="s">
        <v>42</v>
      </c>
      <c r="G97" s="2" t="s">
        <v>43</v>
      </c>
      <c r="H97" s="2" t="s">
        <v>15</v>
      </c>
    </row>
    <row r="98" customFormat="false" ht="15" hidden="false" customHeight="false" outlineLevel="0" collapsed="false">
      <c r="A98" s="2" t="s">
        <v>52</v>
      </c>
      <c r="B98" s="2" t="s">
        <v>9</v>
      </c>
      <c r="C98" s="3" t="n">
        <v>233100</v>
      </c>
      <c r="D98" s="3" t="n">
        <v>732830</v>
      </c>
      <c r="E98" s="4" t="n">
        <v>3144</v>
      </c>
      <c r="F98" s="2" t="s">
        <v>10</v>
      </c>
      <c r="G98" s="2" t="s">
        <v>11</v>
      </c>
      <c r="H98" s="2" t="s">
        <v>12</v>
      </c>
    </row>
    <row r="99" customFormat="false" ht="15" hidden="false" customHeight="false" outlineLevel="0" collapsed="false">
      <c r="A99" s="2" t="s">
        <v>52</v>
      </c>
      <c r="B99" s="2" t="s">
        <v>13</v>
      </c>
      <c r="C99" s="3" t="n">
        <v>236330</v>
      </c>
      <c r="D99" s="3" t="n">
        <v>823290</v>
      </c>
      <c r="E99" s="4" t="n">
        <v>3484</v>
      </c>
      <c r="F99" s="2" t="s">
        <v>14</v>
      </c>
      <c r="G99" s="2" t="s">
        <v>11</v>
      </c>
      <c r="H99" s="2" t="s">
        <v>15</v>
      </c>
    </row>
    <row r="100" customFormat="false" ht="15" hidden="false" customHeight="false" outlineLevel="0" collapsed="false">
      <c r="A100" s="2" t="s">
        <v>52</v>
      </c>
      <c r="B100" s="2" t="s">
        <v>16</v>
      </c>
      <c r="C100" s="3" t="n">
        <v>232690</v>
      </c>
      <c r="D100" s="3" t="n">
        <v>736130</v>
      </c>
      <c r="E100" s="4" t="n">
        <v>3164</v>
      </c>
      <c r="F100" s="2" t="s">
        <v>17</v>
      </c>
      <c r="G100" s="2" t="s">
        <v>18</v>
      </c>
      <c r="H100" s="2" t="s">
        <v>12</v>
      </c>
    </row>
    <row r="101" customFormat="false" ht="15" hidden="false" customHeight="false" outlineLevel="0" collapsed="false">
      <c r="A101" s="2" t="s">
        <v>52</v>
      </c>
      <c r="B101" s="2" t="s">
        <v>19</v>
      </c>
      <c r="C101" s="3" t="n">
        <v>238360</v>
      </c>
      <c r="D101" s="3" t="n">
        <v>755990</v>
      </c>
      <c r="E101" s="4" t="n">
        <v>3172</v>
      </c>
      <c r="F101" s="2" t="s">
        <v>20</v>
      </c>
      <c r="G101" s="2" t="s">
        <v>18</v>
      </c>
      <c r="H101" s="2" t="s">
        <v>15</v>
      </c>
    </row>
    <row r="102" customFormat="false" ht="15" hidden="false" customHeight="false" outlineLevel="0" collapsed="false">
      <c r="A102" s="2" t="s">
        <v>52</v>
      </c>
      <c r="B102" s="2" t="s">
        <v>21</v>
      </c>
      <c r="C102" s="3" t="n">
        <v>233100</v>
      </c>
      <c r="D102" s="3" t="n">
        <v>633450</v>
      </c>
      <c r="E102" s="4" t="n">
        <v>2717</v>
      </c>
      <c r="F102" s="2" t="s">
        <v>22</v>
      </c>
      <c r="G102" s="2" t="s">
        <v>23</v>
      </c>
      <c r="H102" s="2" t="s">
        <v>12</v>
      </c>
    </row>
    <row r="103" customFormat="false" ht="15" hidden="false" customHeight="false" outlineLevel="0" collapsed="false">
      <c r="A103" s="2" t="s">
        <v>52</v>
      </c>
      <c r="B103" s="2" t="s">
        <v>24</v>
      </c>
      <c r="C103" s="3" t="n">
        <v>225410</v>
      </c>
      <c r="D103" s="3" t="n">
        <v>666550</v>
      </c>
      <c r="E103" s="5" t="n">
        <f aca="false">D103*1000/C103</f>
        <v>2957.05603123198</v>
      </c>
      <c r="F103" s="2" t="s">
        <v>25</v>
      </c>
      <c r="G103" s="2" t="s">
        <v>23</v>
      </c>
      <c r="H103" s="2" t="s">
        <v>26</v>
      </c>
    </row>
    <row r="104" customFormat="false" ht="15" hidden="false" customHeight="false" outlineLevel="0" collapsed="false">
      <c r="A104" s="2" t="s">
        <v>52</v>
      </c>
      <c r="B104" s="2" t="s">
        <v>27</v>
      </c>
      <c r="C104" s="3" t="n">
        <v>222980</v>
      </c>
      <c r="D104" s="3" t="n">
        <v>669190</v>
      </c>
      <c r="E104" s="4" t="n">
        <v>3001</v>
      </c>
      <c r="F104" s="2" t="s">
        <v>28</v>
      </c>
      <c r="G104" s="2" t="s">
        <v>29</v>
      </c>
      <c r="H104" s="2" t="s">
        <v>12</v>
      </c>
    </row>
    <row r="105" customFormat="false" ht="15" hidden="false" customHeight="false" outlineLevel="0" collapsed="false">
      <c r="A105" s="2" t="s">
        <v>52</v>
      </c>
      <c r="B105" s="2" t="s">
        <v>30</v>
      </c>
      <c r="C105" s="3" t="n">
        <v>219340</v>
      </c>
      <c r="D105" s="3" t="n">
        <v>693480</v>
      </c>
      <c r="E105" s="4" t="n">
        <v>3162</v>
      </c>
      <c r="F105" s="2" t="s">
        <v>31</v>
      </c>
      <c r="G105" s="2" t="s">
        <v>29</v>
      </c>
      <c r="H105" s="2" t="s">
        <v>15</v>
      </c>
    </row>
    <row r="106" customFormat="false" ht="15" hidden="false" customHeight="false" outlineLevel="0" collapsed="false">
      <c r="A106" s="2" t="s">
        <v>52</v>
      </c>
      <c r="B106" s="2" t="s">
        <v>32</v>
      </c>
      <c r="C106" s="3" t="n">
        <v>220950</v>
      </c>
      <c r="D106" s="3" t="n">
        <v>584880</v>
      </c>
      <c r="E106" s="4" t="n">
        <v>2647</v>
      </c>
      <c r="F106" s="2" t="s">
        <v>33</v>
      </c>
      <c r="G106" s="2" t="s">
        <v>34</v>
      </c>
      <c r="H106" s="2" t="s">
        <v>15</v>
      </c>
    </row>
    <row r="107" customFormat="false" ht="15" hidden="false" customHeight="false" outlineLevel="0" collapsed="false">
      <c r="A107" s="2" t="s">
        <v>52</v>
      </c>
      <c r="B107" s="2" t="s">
        <v>35</v>
      </c>
      <c r="C107" s="3" t="n">
        <v>226620</v>
      </c>
      <c r="D107" s="3" t="n">
        <v>719710</v>
      </c>
      <c r="E107" s="4" t="n">
        <v>3176</v>
      </c>
      <c r="F107" s="2" t="s">
        <v>36</v>
      </c>
      <c r="G107" s="2" t="s">
        <v>37</v>
      </c>
      <c r="H107" s="2" t="s">
        <v>12</v>
      </c>
    </row>
    <row r="108" customFormat="false" ht="15" hidden="false" customHeight="false" outlineLevel="0" collapsed="false">
      <c r="A108" s="2" t="s">
        <v>52</v>
      </c>
      <c r="B108" s="2" t="s">
        <v>39</v>
      </c>
      <c r="C108" s="3" t="n">
        <v>230670</v>
      </c>
      <c r="D108" s="3" t="n">
        <v>685140</v>
      </c>
      <c r="E108" s="4" t="n">
        <v>2970</v>
      </c>
      <c r="F108" s="2" t="s">
        <v>40</v>
      </c>
      <c r="G108" s="2" t="s">
        <v>37</v>
      </c>
      <c r="H108" s="2" t="s">
        <v>15</v>
      </c>
    </row>
    <row r="109" customFormat="false" ht="15" hidden="false" customHeight="false" outlineLevel="0" collapsed="false">
      <c r="A109" s="2" t="s">
        <v>52</v>
      </c>
      <c r="B109" s="2" t="s">
        <v>41</v>
      </c>
      <c r="C109" s="3" t="n">
        <v>162300</v>
      </c>
      <c r="D109" s="3" t="n">
        <v>544600</v>
      </c>
      <c r="E109" s="4" t="n">
        <v>3356</v>
      </c>
      <c r="F109" s="2" t="s">
        <v>42</v>
      </c>
      <c r="G109" s="2" t="s">
        <v>43</v>
      </c>
      <c r="H109" s="2" t="s">
        <v>53</v>
      </c>
    </row>
    <row r="110" customFormat="false" ht="15" hidden="false" customHeight="false" outlineLevel="0" collapsed="false">
      <c r="A110" s="2" t="s">
        <v>54</v>
      </c>
      <c r="B110" s="2" t="s">
        <v>9</v>
      </c>
      <c r="C110" s="3" t="n">
        <v>151350</v>
      </c>
      <c r="D110" s="3" t="n">
        <v>288500</v>
      </c>
      <c r="E110" s="4" t="n">
        <v>1906</v>
      </c>
      <c r="F110" s="2" t="s">
        <v>10</v>
      </c>
      <c r="G110" s="2" t="s">
        <v>11</v>
      </c>
      <c r="H110" s="2" t="s">
        <v>12</v>
      </c>
    </row>
    <row r="111" customFormat="false" ht="15" hidden="false" customHeight="false" outlineLevel="0" collapsed="false">
      <c r="A111" s="2" t="s">
        <v>54</v>
      </c>
      <c r="B111" s="2" t="s">
        <v>13</v>
      </c>
      <c r="C111" s="3" t="n">
        <v>150940</v>
      </c>
      <c r="D111" s="3" t="n">
        <v>266460</v>
      </c>
      <c r="E111" s="4" t="n">
        <v>1765</v>
      </c>
      <c r="F111" s="2" t="s">
        <v>14</v>
      </c>
      <c r="G111" s="2" t="s">
        <v>11</v>
      </c>
      <c r="H111" s="2" t="s">
        <v>15</v>
      </c>
    </row>
    <row r="112" customFormat="false" ht="15" hidden="false" customHeight="false" outlineLevel="0" collapsed="false">
      <c r="A112" s="2" t="s">
        <v>54</v>
      </c>
      <c r="B112" s="2" t="s">
        <v>16</v>
      </c>
      <c r="C112" s="3" t="n">
        <v>150940</v>
      </c>
      <c r="D112" s="3" t="n">
        <v>290850</v>
      </c>
      <c r="E112" s="4" t="n">
        <v>1927</v>
      </c>
      <c r="F112" s="2" t="s">
        <v>17</v>
      </c>
      <c r="G112" s="2" t="s">
        <v>18</v>
      </c>
      <c r="H112" s="2" t="s">
        <v>12</v>
      </c>
    </row>
    <row r="113" customFormat="false" ht="15" hidden="false" customHeight="false" outlineLevel="0" collapsed="false">
      <c r="A113" s="2" t="s">
        <v>54</v>
      </c>
      <c r="B113" s="2" t="s">
        <v>19</v>
      </c>
      <c r="C113" s="3" t="n">
        <v>154180</v>
      </c>
      <c r="D113" s="3" t="n">
        <v>275380</v>
      </c>
      <c r="E113" s="4" t="n">
        <v>1786</v>
      </c>
      <c r="F113" s="2" t="s">
        <v>20</v>
      </c>
      <c r="G113" s="2" t="s">
        <v>18</v>
      </c>
      <c r="H113" s="2" t="s">
        <v>15</v>
      </c>
    </row>
    <row r="114" customFormat="false" ht="15" hidden="false" customHeight="false" outlineLevel="0" collapsed="false">
      <c r="A114" s="2" t="s">
        <v>54</v>
      </c>
      <c r="B114" s="2" t="s">
        <v>21</v>
      </c>
      <c r="C114" s="3" t="n">
        <v>158630</v>
      </c>
      <c r="D114" s="3" t="n">
        <v>243720</v>
      </c>
      <c r="E114" s="4" t="n">
        <v>1537</v>
      </c>
      <c r="F114" s="2" t="s">
        <v>22</v>
      </c>
      <c r="G114" s="2" t="s">
        <v>23</v>
      </c>
      <c r="H114" s="2" t="s">
        <v>12</v>
      </c>
    </row>
    <row r="115" customFormat="false" ht="15" hidden="false" customHeight="false" outlineLevel="0" collapsed="false">
      <c r="A115" s="2" t="s">
        <v>54</v>
      </c>
      <c r="B115" s="2" t="s">
        <v>24</v>
      </c>
      <c r="C115" s="3" t="n">
        <v>151760</v>
      </c>
      <c r="D115" s="3" t="n">
        <v>257230</v>
      </c>
      <c r="E115" s="5" t="n">
        <f aca="false">D115*1000/C115</f>
        <v>1694.97891407486</v>
      </c>
      <c r="F115" s="2" t="s">
        <v>25</v>
      </c>
      <c r="G115" s="2" t="s">
        <v>23</v>
      </c>
      <c r="H115" s="2" t="s">
        <v>26</v>
      </c>
    </row>
    <row r="116" customFormat="false" ht="15" hidden="false" customHeight="false" outlineLevel="0" collapsed="false">
      <c r="A116" s="2" t="s">
        <v>54</v>
      </c>
      <c r="B116" s="2" t="s">
        <v>27</v>
      </c>
      <c r="C116" s="3" t="n">
        <v>152560</v>
      </c>
      <c r="D116" s="3" t="n">
        <v>281960</v>
      </c>
      <c r="E116" s="4" t="n">
        <v>1848</v>
      </c>
      <c r="F116" s="2" t="s">
        <v>28</v>
      </c>
      <c r="G116" s="2" t="s">
        <v>29</v>
      </c>
      <c r="H116" s="2" t="s">
        <v>12</v>
      </c>
    </row>
    <row r="117" customFormat="false" ht="15" hidden="false" customHeight="false" outlineLevel="0" collapsed="false">
      <c r="A117" s="2" t="s">
        <v>54</v>
      </c>
      <c r="B117" s="2" t="s">
        <v>30</v>
      </c>
      <c r="C117" s="3" t="n">
        <v>152560</v>
      </c>
      <c r="D117" s="3" t="n">
        <v>307660</v>
      </c>
      <c r="E117" s="4" t="n">
        <v>2016</v>
      </c>
      <c r="F117" s="2" t="s">
        <v>31</v>
      </c>
      <c r="G117" s="2" t="s">
        <v>29</v>
      </c>
      <c r="H117" s="2" t="s">
        <v>15</v>
      </c>
    </row>
    <row r="118" customFormat="false" ht="15" hidden="false" customHeight="false" outlineLevel="0" collapsed="false">
      <c r="A118" s="2" t="s">
        <v>54</v>
      </c>
      <c r="B118" s="2" t="s">
        <v>32</v>
      </c>
      <c r="C118" s="3" t="n">
        <v>151350</v>
      </c>
      <c r="D118" s="3" t="n">
        <v>240180</v>
      </c>
      <c r="E118" s="4" t="n">
        <v>1587</v>
      </c>
      <c r="F118" s="2" t="s">
        <v>33</v>
      </c>
      <c r="G118" s="2" t="s">
        <v>34</v>
      </c>
      <c r="H118" s="2" t="s">
        <v>15</v>
      </c>
    </row>
    <row r="119" customFormat="false" ht="15" hidden="false" customHeight="false" outlineLevel="0" collapsed="false">
      <c r="A119" s="2" t="s">
        <v>54</v>
      </c>
      <c r="B119" s="2" t="s">
        <v>35</v>
      </c>
      <c r="C119" s="3" t="n">
        <v>151760</v>
      </c>
      <c r="D119" s="3" t="n">
        <v>341930</v>
      </c>
      <c r="E119" s="4" t="n">
        <v>2253</v>
      </c>
      <c r="F119" s="2" t="s">
        <v>36</v>
      </c>
      <c r="G119" s="2" t="s">
        <v>37</v>
      </c>
      <c r="H119" s="2" t="s">
        <v>12</v>
      </c>
    </row>
    <row r="120" customFormat="false" ht="15" hidden="false" customHeight="false" outlineLevel="0" collapsed="false">
      <c r="A120" s="2" t="s">
        <v>54</v>
      </c>
      <c r="B120" s="2" t="s">
        <v>39</v>
      </c>
      <c r="C120" s="3" t="n">
        <v>157020</v>
      </c>
      <c r="D120" s="3" t="n">
        <v>321880</v>
      </c>
      <c r="E120" s="4" t="n">
        <v>2050</v>
      </c>
      <c r="F120" s="2" t="s">
        <v>40</v>
      </c>
      <c r="G120" s="2" t="s">
        <v>37</v>
      </c>
      <c r="H120" s="2" t="s">
        <v>15</v>
      </c>
    </row>
    <row r="121" customFormat="false" ht="15" hidden="false" customHeight="false" outlineLevel="0" collapsed="false">
      <c r="A121" s="2" t="s">
        <v>54</v>
      </c>
      <c r="B121" s="2" t="s">
        <v>41</v>
      </c>
      <c r="C121" s="3" t="n">
        <v>159400</v>
      </c>
      <c r="D121" s="3" t="n">
        <v>363400</v>
      </c>
      <c r="E121" s="4" t="n">
        <v>2279</v>
      </c>
      <c r="F121" s="2" t="s">
        <v>42</v>
      </c>
      <c r="G121" s="2" t="s">
        <v>43</v>
      </c>
      <c r="H121" s="2" t="s">
        <v>15</v>
      </c>
    </row>
    <row r="122" customFormat="false" ht="15" hidden="false" customHeight="false" outlineLevel="0" collapsed="false">
      <c r="A122" s="2" t="s">
        <v>55</v>
      </c>
      <c r="B122" s="2" t="s">
        <v>9</v>
      </c>
      <c r="C122" s="3" t="n">
        <v>152970</v>
      </c>
      <c r="D122" s="3" t="n">
        <v>486750</v>
      </c>
      <c r="E122" s="4" t="n">
        <v>3182</v>
      </c>
      <c r="F122" s="2" t="s">
        <v>10</v>
      </c>
      <c r="G122" s="2" t="s">
        <v>11</v>
      </c>
      <c r="H122" s="2" t="s">
        <v>12</v>
      </c>
    </row>
    <row r="123" customFormat="false" ht="15" hidden="false" customHeight="false" outlineLevel="0" collapsed="false">
      <c r="A123" s="2" t="s">
        <v>55</v>
      </c>
      <c r="B123" s="2" t="s">
        <v>13</v>
      </c>
      <c r="C123" s="3" t="n">
        <v>153780</v>
      </c>
      <c r="D123" s="3" t="n">
        <v>475000</v>
      </c>
      <c r="E123" s="4" t="n">
        <v>3089</v>
      </c>
      <c r="F123" s="2" t="s">
        <v>14</v>
      </c>
      <c r="G123" s="2" t="s">
        <v>11</v>
      </c>
      <c r="H123" s="2" t="s">
        <v>15</v>
      </c>
    </row>
    <row r="124" customFormat="false" ht="15" hidden="false" customHeight="false" outlineLevel="0" collapsed="false">
      <c r="A124" s="2" t="s">
        <v>55</v>
      </c>
      <c r="B124" s="2" t="s">
        <v>16</v>
      </c>
      <c r="C124" s="3" t="n">
        <v>155400</v>
      </c>
      <c r="D124" s="3" t="n">
        <v>472830</v>
      </c>
      <c r="E124" s="4" t="n">
        <v>3043</v>
      </c>
      <c r="F124" s="2" t="s">
        <v>17</v>
      </c>
      <c r="G124" s="2" t="s">
        <v>18</v>
      </c>
      <c r="H124" s="2" t="s">
        <v>12</v>
      </c>
    </row>
    <row r="125" customFormat="false" ht="15" hidden="false" customHeight="false" outlineLevel="0" collapsed="false">
      <c r="A125" s="2" t="s">
        <v>55</v>
      </c>
      <c r="B125" s="2" t="s">
        <v>19</v>
      </c>
      <c r="C125" s="3" t="n">
        <v>157820</v>
      </c>
      <c r="D125" s="3" t="n">
        <v>486920</v>
      </c>
      <c r="E125" s="4" t="n">
        <v>3085</v>
      </c>
      <c r="F125" s="2" t="s">
        <v>20</v>
      </c>
      <c r="G125" s="2" t="s">
        <v>18</v>
      </c>
      <c r="H125" s="2" t="s">
        <v>15</v>
      </c>
    </row>
    <row r="126" customFormat="false" ht="15" hidden="false" customHeight="false" outlineLevel="0" collapsed="false">
      <c r="A126" s="2" t="s">
        <v>55</v>
      </c>
      <c r="B126" s="2" t="s">
        <v>21</v>
      </c>
      <c r="C126" s="3" t="n">
        <v>163090</v>
      </c>
      <c r="D126" s="3" t="n">
        <v>498940</v>
      </c>
      <c r="E126" s="4" t="n">
        <v>3059</v>
      </c>
      <c r="F126" s="2" t="s">
        <v>22</v>
      </c>
      <c r="G126" s="2" t="s">
        <v>23</v>
      </c>
      <c r="H126" s="2" t="s">
        <v>12</v>
      </c>
    </row>
    <row r="127" customFormat="false" ht="15" hidden="false" customHeight="false" outlineLevel="0" collapsed="false">
      <c r="A127" s="2" t="s">
        <v>55</v>
      </c>
      <c r="B127" s="2" t="s">
        <v>24</v>
      </c>
      <c r="C127" s="3" t="n">
        <v>156210</v>
      </c>
      <c r="D127" s="3" t="n">
        <v>479330</v>
      </c>
      <c r="E127" s="4" t="n">
        <v>3069</v>
      </c>
      <c r="F127" s="2" t="s">
        <v>25</v>
      </c>
      <c r="G127" s="2" t="s">
        <v>23</v>
      </c>
      <c r="H127" s="2" t="s">
        <v>15</v>
      </c>
    </row>
    <row r="128" customFormat="false" ht="15" hidden="false" customHeight="false" outlineLevel="0" collapsed="false">
      <c r="A128" s="2" t="s">
        <v>55</v>
      </c>
      <c r="B128" s="2" t="s">
        <v>27</v>
      </c>
      <c r="C128" s="3" t="n">
        <v>163490</v>
      </c>
      <c r="D128" s="3" t="n">
        <v>554310</v>
      </c>
      <c r="E128" s="4" t="n">
        <v>3390</v>
      </c>
      <c r="F128" s="2" t="s">
        <v>28</v>
      </c>
      <c r="G128" s="2" t="s">
        <v>29</v>
      </c>
      <c r="H128" s="2" t="s">
        <v>12</v>
      </c>
    </row>
    <row r="129" customFormat="false" ht="15" hidden="false" customHeight="false" outlineLevel="0" collapsed="false">
      <c r="A129" s="2" t="s">
        <v>55</v>
      </c>
      <c r="B129" s="2" t="s">
        <v>30</v>
      </c>
      <c r="C129" s="3" t="n">
        <v>159850</v>
      </c>
      <c r="D129" s="3" t="n">
        <v>555520</v>
      </c>
      <c r="E129" s="4" t="n">
        <v>3475</v>
      </c>
      <c r="F129" s="2" t="s">
        <v>31</v>
      </c>
      <c r="G129" s="2" t="s">
        <v>29</v>
      </c>
      <c r="H129" s="2" t="s">
        <v>15</v>
      </c>
    </row>
    <row r="130" customFormat="false" ht="15" hidden="false" customHeight="false" outlineLevel="0" collapsed="false">
      <c r="A130" s="2" t="s">
        <v>55</v>
      </c>
      <c r="B130" s="2" t="s">
        <v>32</v>
      </c>
      <c r="C130" s="3" t="n">
        <v>165510</v>
      </c>
      <c r="D130" s="3" t="n">
        <v>494920</v>
      </c>
      <c r="E130" s="4" t="n">
        <v>2990</v>
      </c>
      <c r="F130" s="2" t="s">
        <v>33</v>
      </c>
      <c r="G130" s="2" t="s">
        <v>34</v>
      </c>
      <c r="H130" s="2" t="s">
        <v>15</v>
      </c>
    </row>
    <row r="131" customFormat="false" ht="15" hidden="false" customHeight="false" outlineLevel="0" collapsed="false">
      <c r="A131" s="2" t="s">
        <v>55</v>
      </c>
      <c r="B131" s="2" t="s">
        <v>35</v>
      </c>
      <c r="C131" s="3" t="n">
        <v>145680</v>
      </c>
      <c r="D131" s="3" t="n">
        <v>524590</v>
      </c>
      <c r="E131" s="4" t="n">
        <v>3601</v>
      </c>
      <c r="F131" s="2" t="s">
        <v>36</v>
      </c>
      <c r="G131" s="2" t="s">
        <v>37</v>
      </c>
      <c r="H131" s="2" t="s">
        <v>12</v>
      </c>
    </row>
    <row r="132" customFormat="false" ht="15" hidden="false" customHeight="false" outlineLevel="0" collapsed="false">
      <c r="A132" s="2" t="s">
        <v>55</v>
      </c>
      <c r="B132" s="2" t="s">
        <v>39</v>
      </c>
      <c r="C132" s="3" t="n">
        <v>146900</v>
      </c>
      <c r="D132" s="3" t="n">
        <v>483810</v>
      </c>
      <c r="E132" s="4" t="n">
        <v>3293</v>
      </c>
      <c r="F132" s="2" t="s">
        <v>40</v>
      </c>
      <c r="G132" s="2" t="s">
        <v>37</v>
      </c>
      <c r="H132" s="2" t="s">
        <v>15</v>
      </c>
    </row>
    <row r="133" customFormat="false" ht="15" hidden="false" customHeight="false" outlineLevel="0" collapsed="false">
      <c r="A133" s="2" t="s">
        <v>55</v>
      </c>
      <c r="B133" s="2" t="s">
        <v>41</v>
      </c>
      <c r="C133" s="3" t="n">
        <v>150900</v>
      </c>
      <c r="D133" s="3" t="n">
        <v>595500</v>
      </c>
      <c r="E133" s="4" t="n">
        <v>3945</v>
      </c>
      <c r="F133" s="2" t="s">
        <v>42</v>
      </c>
      <c r="G133" s="2" t="s">
        <v>43</v>
      </c>
      <c r="H133" s="2" t="s">
        <v>15</v>
      </c>
    </row>
    <row r="134" customFormat="false" ht="15" hidden="false" customHeight="false" outlineLevel="0" collapsed="false">
      <c r="A134" s="2" t="s">
        <v>56</v>
      </c>
      <c r="B134" s="2" t="s">
        <v>9</v>
      </c>
      <c r="C134" s="3" t="n">
        <v>271940</v>
      </c>
      <c r="D134" s="3" t="n">
        <v>797340</v>
      </c>
      <c r="E134" s="4" t="n">
        <v>2932</v>
      </c>
      <c r="F134" s="2" t="s">
        <v>10</v>
      </c>
      <c r="G134" s="2" t="s">
        <v>11</v>
      </c>
      <c r="H134" s="2" t="s">
        <v>12</v>
      </c>
    </row>
    <row r="135" customFormat="false" ht="15" hidden="false" customHeight="false" outlineLevel="0" collapsed="false">
      <c r="A135" s="2" t="s">
        <v>56</v>
      </c>
      <c r="B135" s="2" t="s">
        <v>13</v>
      </c>
      <c r="C135" s="3" t="n">
        <v>261420</v>
      </c>
      <c r="D135" s="3" t="n">
        <v>740700</v>
      </c>
      <c r="E135" s="4" t="n">
        <v>2833</v>
      </c>
      <c r="F135" s="2" t="s">
        <v>14</v>
      </c>
      <c r="G135" s="2" t="s">
        <v>11</v>
      </c>
      <c r="H135" s="2" t="s">
        <v>15</v>
      </c>
    </row>
    <row r="136" customFormat="false" ht="15" hidden="false" customHeight="false" outlineLevel="0" collapsed="false">
      <c r="A136" s="2" t="s">
        <v>56</v>
      </c>
      <c r="B136" s="2" t="s">
        <v>16</v>
      </c>
      <c r="C136" s="3" t="n">
        <v>259800</v>
      </c>
      <c r="D136" s="3" t="n">
        <v>771530</v>
      </c>
      <c r="E136" s="4" t="n">
        <v>2970</v>
      </c>
      <c r="F136" s="2" t="s">
        <v>17</v>
      </c>
      <c r="G136" s="2" t="s">
        <v>18</v>
      </c>
      <c r="H136" s="2" t="s">
        <v>12</v>
      </c>
    </row>
    <row r="137" customFormat="false" ht="15" hidden="false" customHeight="false" outlineLevel="0" collapsed="false">
      <c r="A137" s="2" t="s">
        <v>56</v>
      </c>
      <c r="B137" s="2" t="s">
        <v>19</v>
      </c>
      <c r="C137" s="3" t="n">
        <v>292980</v>
      </c>
      <c r="D137" s="3" t="n">
        <v>893810</v>
      </c>
      <c r="E137" s="4" t="n">
        <v>3051</v>
      </c>
      <c r="F137" s="2" t="s">
        <v>20</v>
      </c>
      <c r="G137" s="2" t="s">
        <v>18</v>
      </c>
      <c r="H137" s="2" t="s">
        <v>15</v>
      </c>
    </row>
    <row r="138" customFormat="false" ht="15" hidden="false" customHeight="false" outlineLevel="0" collapsed="false">
      <c r="A138" s="2" t="s">
        <v>56</v>
      </c>
      <c r="B138" s="2" t="s">
        <v>21</v>
      </c>
      <c r="C138" s="3" t="n">
        <v>303100</v>
      </c>
      <c r="D138" s="3" t="n">
        <v>931500</v>
      </c>
      <c r="E138" s="4" t="n">
        <v>3073</v>
      </c>
      <c r="F138" s="2" t="s">
        <v>22</v>
      </c>
      <c r="G138" s="2" t="s">
        <v>23</v>
      </c>
      <c r="H138" s="2" t="s">
        <v>12</v>
      </c>
    </row>
    <row r="139" customFormat="false" ht="15" hidden="false" customHeight="false" outlineLevel="0" collapsed="false">
      <c r="A139" s="2" t="s">
        <v>56</v>
      </c>
      <c r="B139" s="2" t="s">
        <v>24</v>
      </c>
      <c r="C139" s="3" t="n">
        <v>300670</v>
      </c>
      <c r="D139" s="3" t="n">
        <v>869670</v>
      </c>
      <c r="E139" s="5" t="n">
        <f aca="false">D139*1000/C139</f>
        <v>2892.44021684904</v>
      </c>
      <c r="F139" s="2" t="s">
        <v>25</v>
      </c>
      <c r="G139" s="2" t="s">
        <v>23</v>
      </c>
      <c r="H139" s="2" t="s">
        <v>26</v>
      </c>
    </row>
    <row r="140" customFormat="false" ht="15" hidden="false" customHeight="false" outlineLevel="0" collapsed="false">
      <c r="A140" s="2" t="s">
        <v>56</v>
      </c>
      <c r="B140" s="2" t="s">
        <v>27</v>
      </c>
      <c r="C140" s="3" t="n">
        <v>288530</v>
      </c>
      <c r="D140" s="3" t="n">
        <v>917400</v>
      </c>
      <c r="E140" s="4" t="n">
        <v>3179</v>
      </c>
      <c r="F140" s="2" t="s">
        <v>28</v>
      </c>
      <c r="G140" s="2" t="s">
        <v>29</v>
      </c>
      <c r="H140" s="2" t="s">
        <v>12</v>
      </c>
    </row>
    <row r="141" customFormat="false" ht="15" hidden="false" customHeight="false" outlineLevel="0" collapsed="false">
      <c r="A141" s="2" t="s">
        <v>56</v>
      </c>
      <c r="B141" s="2" t="s">
        <v>30</v>
      </c>
      <c r="C141" s="3" t="n">
        <v>276800</v>
      </c>
      <c r="D141" s="3" t="n">
        <v>872930</v>
      </c>
      <c r="E141" s="4" t="n">
        <v>3153</v>
      </c>
      <c r="F141" s="2" t="s">
        <v>31</v>
      </c>
      <c r="G141" s="2" t="s">
        <v>29</v>
      </c>
      <c r="H141" s="2" t="s">
        <v>15</v>
      </c>
    </row>
    <row r="142" customFormat="false" ht="15" hidden="false" customHeight="false" outlineLevel="0" collapsed="false">
      <c r="A142" s="2" t="s">
        <v>56</v>
      </c>
      <c r="B142" s="2" t="s">
        <v>32</v>
      </c>
      <c r="C142" s="3" t="n">
        <v>276390</v>
      </c>
      <c r="D142" s="3" t="n">
        <v>866750</v>
      </c>
      <c r="E142" s="4" t="n">
        <v>3136</v>
      </c>
      <c r="F142" s="2" t="s">
        <v>33</v>
      </c>
      <c r="G142" s="2" t="s">
        <v>34</v>
      </c>
      <c r="H142" s="2" t="s">
        <v>15</v>
      </c>
    </row>
    <row r="143" customFormat="false" ht="15" hidden="false" customHeight="false" outlineLevel="0" collapsed="false">
      <c r="A143" s="2" t="s">
        <v>56</v>
      </c>
      <c r="B143" s="2" t="s">
        <v>35</v>
      </c>
      <c r="C143" s="3" t="n">
        <v>272750</v>
      </c>
      <c r="D143" s="3" t="n">
        <v>902930</v>
      </c>
      <c r="E143" s="4" t="n">
        <v>3310</v>
      </c>
      <c r="F143" s="2" t="s">
        <v>36</v>
      </c>
      <c r="G143" s="2" t="s">
        <v>37</v>
      </c>
      <c r="H143" s="2" t="s">
        <v>12</v>
      </c>
    </row>
    <row r="144" customFormat="false" ht="15" hidden="false" customHeight="false" outlineLevel="0" collapsed="false">
      <c r="A144" s="2" t="s">
        <v>56</v>
      </c>
      <c r="B144" s="2" t="s">
        <v>39</v>
      </c>
      <c r="C144" s="3" t="n">
        <v>255760</v>
      </c>
      <c r="D144" s="3" t="n">
        <v>810730</v>
      </c>
      <c r="E144" s="4" t="n">
        <v>3170</v>
      </c>
      <c r="F144" s="2" t="s">
        <v>40</v>
      </c>
      <c r="G144" s="2" t="s">
        <v>37</v>
      </c>
      <c r="H144" s="2" t="s">
        <v>15</v>
      </c>
    </row>
    <row r="145" customFormat="false" ht="15" hidden="false" customHeight="false" outlineLevel="0" collapsed="false">
      <c r="A145" s="2" t="s">
        <v>56</v>
      </c>
      <c r="B145" s="2" t="s">
        <v>41</v>
      </c>
      <c r="C145" s="3" t="n">
        <v>263400</v>
      </c>
      <c r="D145" s="3" t="n">
        <v>934300</v>
      </c>
      <c r="E145" s="4" t="n">
        <v>3547</v>
      </c>
      <c r="F145" s="2" t="s">
        <v>42</v>
      </c>
      <c r="G145" s="2" t="s">
        <v>43</v>
      </c>
      <c r="H145" s="2" t="s">
        <v>15</v>
      </c>
    </row>
    <row r="146" customFormat="false" ht="15" hidden="false" customHeight="false" outlineLevel="0" collapsed="false">
      <c r="A146" s="2" t="s">
        <v>57</v>
      </c>
      <c r="B146" s="2" t="s">
        <v>9</v>
      </c>
      <c r="C146" s="3" t="n">
        <v>48970</v>
      </c>
      <c r="D146" s="3" t="n">
        <v>92640</v>
      </c>
      <c r="E146" s="4" t="n">
        <v>1892</v>
      </c>
      <c r="F146" s="2" t="s">
        <v>10</v>
      </c>
      <c r="G146" s="2" t="s">
        <v>11</v>
      </c>
      <c r="H146" s="2" t="s">
        <v>12</v>
      </c>
    </row>
    <row r="147" customFormat="false" ht="15" hidden="false" customHeight="false" outlineLevel="0" collapsed="false">
      <c r="A147" s="2" t="s">
        <v>57</v>
      </c>
      <c r="B147" s="2" t="s">
        <v>13</v>
      </c>
      <c r="C147" s="3" t="n">
        <v>49780</v>
      </c>
      <c r="D147" s="3" t="n">
        <v>69100</v>
      </c>
      <c r="E147" s="4" t="n">
        <v>1388</v>
      </c>
      <c r="F147" s="2" t="s">
        <v>14</v>
      </c>
      <c r="G147" s="2" t="s">
        <v>11</v>
      </c>
      <c r="H147" s="2" t="s">
        <v>15</v>
      </c>
    </row>
    <row r="148" customFormat="false" ht="15" hidden="false" customHeight="false" outlineLevel="0" collapsed="false">
      <c r="A148" s="2" t="s">
        <v>57</v>
      </c>
      <c r="B148" s="2" t="s">
        <v>16</v>
      </c>
      <c r="C148" s="3" t="n">
        <v>49370</v>
      </c>
      <c r="D148" s="3" t="n">
        <v>88840</v>
      </c>
      <c r="E148" s="4" t="n">
        <v>1799</v>
      </c>
      <c r="F148" s="2" t="s">
        <v>17</v>
      </c>
      <c r="G148" s="2" t="s">
        <v>18</v>
      </c>
      <c r="H148" s="2" t="s">
        <v>12</v>
      </c>
    </row>
    <row r="149" customFormat="false" ht="15" hidden="false" customHeight="false" outlineLevel="0" collapsed="false">
      <c r="A149" s="2" t="s">
        <v>57</v>
      </c>
      <c r="B149" s="2" t="s">
        <v>19</v>
      </c>
      <c r="C149" s="3" t="n">
        <v>53820</v>
      </c>
      <c r="D149" s="3" t="n">
        <v>87840</v>
      </c>
      <c r="E149" s="4" t="n">
        <v>1632</v>
      </c>
      <c r="F149" s="2" t="s">
        <v>20</v>
      </c>
      <c r="G149" s="2" t="s">
        <v>18</v>
      </c>
      <c r="H149" s="2" t="s">
        <v>15</v>
      </c>
    </row>
    <row r="150" customFormat="false" ht="15" hidden="false" customHeight="false" outlineLevel="0" collapsed="false">
      <c r="A150" s="2" t="s">
        <v>57</v>
      </c>
      <c r="B150" s="2" t="s">
        <v>21</v>
      </c>
      <c r="C150" s="3" t="n">
        <v>53820</v>
      </c>
      <c r="D150" s="3" t="n">
        <v>106840</v>
      </c>
      <c r="E150" s="4" t="n">
        <v>1985</v>
      </c>
      <c r="F150" s="2" t="s">
        <v>22</v>
      </c>
      <c r="G150" s="2" t="s">
        <v>23</v>
      </c>
      <c r="H150" s="2" t="s">
        <v>12</v>
      </c>
    </row>
    <row r="151" customFormat="false" ht="15" hidden="false" customHeight="false" outlineLevel="0" collapsed="false">
      <c r="A151" s="2" t="s">
        <v>57</v>
      </c>
      <c r="B151" s="2" t="s">
        <v>24</v>
      </c>
      <c r="C151" s="3" t="n">
        <v>56660</v>
      </c>
      <c r="D151" s="3" t="n">
        <v>127370</v>
      </c>
      <c r="E151" s="5" t="n">
        <f aca="false">D151*1000/C151</f>
        <v>2247.97034945288</v>
      </c>
      <c r="F151" s="2" t="s">
        <v>25</v>
      </c>
      <c r="G151" s="2" t="s">
        <v>23</v>
      </c>
      <c r="H151" s="2" t="s">
        <v>26</v>
      </c>
    </row>
    <row r="152" customFormat="false" ht="15" hidden="false" customHeight="false" outlineLevel="0" collapsed="false">
      <c r="A152" s="2" t="s">
        <v>57</v>
      </c>
      <c r="B152" s="2" t="s">
        <v>27</v>
      </c>
      <c r="C152" s="3" t="n">
        <v>53820</v>
      </c>
      <c r="D152" s="3" t="n">
        <v>96210</v>
      </c>
      <c r="E152" s="4" t="n">
        <v>1787</v>
      </c>
      <c r="F152" s="2" t="s">
        <v>28</v>
      </c>
      <c r="G152" s="2" t="s">
        <v>29</v>
      </c>
      <c r="H152" s="2" t="s">
        <v>12</v>
      </c>
    </row>
    <row r="153" customFormat="false" ht="15" hidden="false" customHeight="false" outlineLevel="0" collapsed="false">
      <c r="A153" s="2" t="s">
        <v>57</v>
      </c>
      <c r="B153" s="2" t="s">
        <v>30</v>
      </c>
      <c r="C153" s="3" t="n">
        <v>56250</v>
      </c>
      <c r="D153" s="3" t="n">
        <v>85700</v>
      </c>
      <c r="E153" s="4" t="n">
        <v>1524</v>
      </c>
      <c r="F153" s="2" t="s">
        <v>31</v>
      </c>
      <c r="G153" s="2" t="s">
        <v>29</v>
      </c>
      <c r="H153" s="2" t="s">
        <v>15</v>
      </c>
    </row>
    <row r="154" customFormat="false" ht="15" hidden="false" customHeight="false" outlineLevel="0" collapsed="false">
      <c r="A154" s="2" t="s">
        <v>57</v>
      </c>
      <c r="B154" s="2" t="s">
        <v>32</v>
      </c>
      <c r="C154" s="3" t="n">
        <v>53420</v>
      </c>
      <c r="D154" s="3" t="n">
        <v>85100</v>
      </c>
      <c r="E154" s="4" t="n">
        <v>1593</v>
      </c>
      <c r="F154" s="2" t="s">
        <v>33</v>
      </c>
      <c r="G154" s="2" t="s">
        <v>34</v>
      </c>
      <c r="H154" s="2" t="s">
        <v>15</v>
      </c>
    </row>
    <row r="155" customFormat="false" ht="15" hidden="false" customHeight="false" outlineLevel="0" collapsed="false">
      <c r="A155" s="2" t="s">
        <v>57</v>
      </c>
      <c r="B155" s="2" t="s">
        <v>35</v>
      </c>
      <c r="C155" s="3" t="n">
        <v>80930</v>
      </c>
      <c r="D155" s="3" t="n">
        <v>115860</v>
      </c>
      <c r="E155" s="4" t="n">
        <v>1431</v>
      </c>
      <c r="F155" s="2" t="s">
        <v>36</v>
      </c>
      <c r="G155" s="2" t="s">
        <v>37</v>
      </c>
      <c r="H155" s="2" t="s">
        <v>12</v>
      </c>
    </row>
    <row r="156" customFormat="false" ht="15" hidden="false" customHeight="false" outlineLevel="0" collapsed="false">
      <c r="A156" s="2" t="s">
        <v>57</v>
      </c>
      <c r="B156" s="2" t="s">
        <v>39</v>
      </c>
      <c r="C156" s="3" t="n">
        <v>77290</v>
      </c>
      <c r="D156" s="3" t="n">
        <v>152220</v>
      </c>
      <c r="E156" s="4" t="n">
        <v>1970</v>
      </c>
      <c r="F156" s="2" t="s">
        <v>40</v>
      </c>
      <c r="G156" s="2" t="s">
        <v>37</v>
      </c>
      <c r="H156" s="2" t="s">
        <v>15</v>
      </c>
    </row>
    <row r="157" customFormat="false" ht="15" hidden="false" customHeight="false" outlineLevel="0" collapsed="false">
      <c r="A157" s="2" t="s">
        <v>57</v>
      </c>
      <c r="B157" s="2" t="s">
        <v>41</v>
      </c>
      <c r="C157" s="3" t="n">
        <v>85400</v>
      </c>
      <c r="D157" s="3" t="n">
        <v>193900</v>
      </c>
      <c r="E157" s="4" t="n">
        <v>2270</v>
      </c>
      <c r="F157" s="2" t="s">
        <v>42</v>
      </c>
      <c r="G157" s="2" t="s">
        <v>43</v>
      </c>
      <c r="H157" s="2" t="s">
        <v>15</v>
      </c>
    </row>
    <row r="158" customFormat="false" ht="15" hidden="false" customHeight="false" outlineLevel="0" collapsed="false">
      <c r="A158" s="2" t="s">
        <v>58</v>
      </c>
      <c r="B158" s="2" t="s">
        <v>9</v>
      </c>
      <c r="C158" s="3" t="n">
        <v>187360</v>
      </c>
      <c r="D158" s="3" t="n">
        <v>578230</v>
      </c>
      <c r="E158" s="4" t="n">
        <v>3086</v>
      </c>
      <c r="F158" s="2" t="s">
        <v>10</v>
      </c>
      <c r="G158" s="2" t="s">
        <v>11</v>
      </c>
      <c r="H158" s="2" t="s">
        <v>12</v>
      </c>
    </row>
    <row r="159" customFormat="false" ht="15" hidden="false" customHeight="false" outlineLevel="0" collapsed="false">
      <c r="A159" s="2" t="s">
        <v>58</v>
      </c>
      <c r="B159" s="2" t="s">
        <v>13</v>
      </c>
      <c r="C159" s="3" t="n">
        <v>184130</v>
      </c>
      <c r="D159" s="3" t="n">
        <v>570620</v>
      </c>
      <c r="E159" s="4" t="n">
        <v>3099</v>
      </c>
      <c r="F159" s="2" t="s">
        <v>14</v>
      </c>
      <c r="G159" s="2" t="s">
        <v>11</v>
      </c>
      <c r="H159" s="2" t="s">
        <v>15</v>
      </c>
    </row>
    <row r="160" customFormat="false" ht="15" hidden="false" customHeight="false" outlineLevel="0" collapsed="false">
      <c r="A160" s="2" t="s">
        <v>58</v>
      </c>
      <c r="B160" s="2" t="s">
        <v>16</v>
      </c>
      <c r="C160" s="3" t="n">
        <v>178870</v>
      </c>
      <c r="D160" s="3" t="n">
        <v>536330</v>
      </c>
      <c r="E160" s="4" t="n">
        <v>2998</v>
      </c>
      <c r="F160" s="2" t="s">
        <v>17</v>
      </c>
      <c r="G160" s="2" t="s">
        <v>18</v>
      </c>
      <c r="H160" s="2" t="s">
        <v>12</v>
      </c>
    </row>
    <row r="161" customFormat="false" ht="15" hidden="false" customHeight="false" outlineLevel="0" collapsed="false">
      <c r="A161" s="2" t="s">
        <v>58</v>
      </c>
      <c r="B161" s="2" t="s">
        <v>19</v>
      </c>
      <c r="C161" s="3" t="n">
        <v>182100</v>
      </c>
      <c r="D161" s="3" t="n">
        <v>548060</v>
      </c>
      <c r="E161" s="4" t="n">
        <v>3010</v>
      </c>
      <c r="F161" s="2" t="s">
        <v>20</v>
      </c>
      <c r="G161" s="2" t="s">
        <v>18</v>
      </c>
      <c r="H161" s="2" t="s">
        <v>15</v>
      </c>
    </row>
    <row r="162" customFormat="false" ht="15" hidden="false" customHeight="false" outlineLevel="0" collapsed="false">
      <c r="A162" s="2" t="s">
        <v>58</v>
      </c>
      <c r="B162" s="2" t="s">
        <v>21</v>
      </c>
      <c r="C162" s="3" t="n">
        <v>167530</v>
      </c>
      <c r="D162" s="3" t="n">
        <v>514260</v>
      </c>
      <c r="E162" s="4" t="n">
        <v>3069</v>
      </c>
      <c r="F162" s="2" t="s">
        <v>22</v>
      </c>
      <c r="G162" s="2" t="s">
        <v>23</v>
      </c>
      <c r="H162" s="2" t="s">
        <v>12</v>
      </c>
    </row>
    <row r="163" customFormat="false" ht="15" hidden="false" customHeight="false" outlineLevel="0" collapsed="false">
      <c r="A163" s="2" t="s">
        <v>58</v>
      </c>
      <c r="B163" s="2" t="s">
        <v>24</v>
      </c>
      <c r="C163" s="3" t="n">
        <v>165510</v>
      </c>
      <c r="D163" s="3" t="n">
        <v>479490</v>
      </c>
      <c r="E163" s="5" t="n">
        <f aca="false">D163*1000/C163</f>
        <v>2897.04549574044</v>
      </c>
      <c r="F163" s="2" t="s">
        <v>25</v>
      </c>
      <c r="G163" s="2" t="s">
        <v>23</v>
      </c>
      <c r="H163" s="2" t="s">
        <v>26</v>
      </c>
    </row>
    <row r="164" customFormat="false" ht="15" hidden="false" customHeight="false" outlineLevel="0" collapsed="false">
      <c r="A164" s="2" t="s">
        <v>58</v>
      </c>
      <c r="B164" s="2" t="s">
        <v>27</v>
      </c>
      <c r="C164" s="3" t="n">
        <v>164300</v>
      </c>
      <c r="D164" s="3" t="n">
        <v>526440</v>
      </c>
      <c r="E164" s="4" t="n">
        <v>3204</v>
      </c>
      <c r="F164" s="2" t="s">
        <v>28</v>
      </c>
      <c r="G164" s="2" t="s">
        <v>29</v>
      </c>
      <c r="H164" s="2" t="s">
        <v>12</v>
      </c>
    </row>
    <row r="165" customFormat="false" ht="15" hidden="false" customHeight="false" outlineLevel="0" collapsed="false">
      <c r="A165" s="2" t="s">
        <v>58</v>
      </c>
      <c r="B165" s="2" t="s">
        <v>30</v>
      </c>
      <c r="C165" s="3" t="n">
        <v>162680</v>
      </c>
      <c r="D165" s="3" t="n">
        <v>514500</v>
      </c>
      <c r="E165" s="4" t="n">
        <v>3163</v>
      </c>
      <c r="F165" s="2" t="s">
        <v>31</v>
      </c>
      <c r="G165" s="2" t="s">
        <v>29</v>
      </c>
      <c r="H165" s="2" t="s">
        <v>15</v>
      </c>
    </row>
    <row r="166" customFormat="false" ht="15" hidden="false" customHeight="false" outlineLevel="0" collapsed="false">
      <c r="A166" s="2" t="s">
        <v>58</v>
      </c>
      <c r="B166" s="2" t="s">
        <v>32</v>
      </c>
      <c r="C166" s="3" t="n">
        <v>161870</v>
      </c>
      <c r="D166" s="3" t="n">
        <v>467300</v>
      </c>
      <c r="E166" s="4" t="n">
        <v>2887</v>
      </c>
      <c r="F166" s="2" t="s">
        <v>33</v>
      </c>
      <c r="G166" s="2" t="s">
        <v>34</v>
      </c>
      <c r="H166" s="2" t="s">
        <v>15</v>
      </c>
    </row>
    <row r="167" customFormat="false" ht="15" hidden="false" customHeight="false" outlineLevel="0" collapsed="false">
      <c r="A167" s="2" t="s">
        <v>58</v>
      </c>
      <c r="B167" s="2" t="s">
        <v>35</v>
      </c>
      <c r="C167" s="3" t="n">
        <v>136780</v>
      </c>
      <c r="D167" s="3" t="n">
        <v>478200</v>
      </c>
      <c r="E167" s="4" t="n">
        <v>3496</v>
      </c>
      <c r="F167" s="2" t="s">
        <v>36</v>
      </c>
      <c r="G167" s="2" t="s">
        <v>37</v>
      </c>
      <c r="H167" s="2" t="s">
        <v>12</v>
      </c>
    </row>
    <row r="168" customFormat="false" ht="15" hidden="false" customHeight="false" outlineLevel="0" collapsed="false">
      <c r="A168" s="2" t="s">
        <v>58</v>
      </c>
      <c r="B168" s="2" t="s">
        <v>39</v>
      </c>
      <c r="C168" s="3" t="n">
        <v>129900</v>
      </c>
      <c r="D168" s="3" t="n">
        <v>406260</v>
      </c>
      <c r="E168" s="4" t="n">
        <v>3127</v>
      </c>
      <c r="F168" s="2" t="s">
        <v>40</v>
      </c>
      <c r="G168" s="2" t="s">
        <v>37</v>
      </c>
      <c r="H168" s="2" t="s">
        <v>15</v>
      </c>
    </row>
    <row r="169" customFormat="false" ht="15" hidden="false" customHeight="false" outlineLevel="0" collapsed="false">
      <c r="A169" s="2" t="s">
        <v>58</v>
      </c>
      <c r="B169" s="2" t="s">
        <v>41</v>
      </c>
      <c r="C169" s="3" t="n">
        <v>127500</v>
      </c>
      <c r="D169" s="3" t="n">
        <v>434300</v>
      </c>
      <c r="E169" s="4" t="n">
        <v>3407</v>
      </c>
      <c r="F169" s="2" t="s">
        <v>42</v>
      </c>
      <c r="G169" s="2" t="s">
        <v>43</v>
      </c>
      <c r="H169" s="2" t="s">
        <v>15</v>
      </c>
    </row>
    <row r="170" customFormat="false" ht="15" hidden="false" customHeight="false" outlineLevel="0" collapsed="false">
      <c r="A170" s="2" t="s">
        <v>59</v>
      </c>
      <c r="B170" s="2" t="s">
        <v>9</v>
      </c>
      <c r="C170" s="3" t="n">
        <v>203150</v>
      </c>
      <c r="D170" s="3" t="n">
        <v>627460</v>
      </c>
      <c r="E170" s="4" t="n">
        <v>3089</v>
      </c>
      <c r="F170" s="2" t="s">
        <v>10</v>
      </c>
      <c r="G170" s="2" t="s">
        <v>11</v>
      </c>
      <c r="H170" s="2" t="s">
        <v>12</v>
      </c>
    </row>
    <row r="171" customFormat="false" ht="15" hidden="false" customHeight="false" outlineLevel="0" collapsed="false">
      <c r="A171" s="2" t="s">
        <v>59</v>
      </c>
      <c r="B171" s="2" t="s">
        <v>13</v>
      </c>
      <c r="C171" s="3" t="n">
        <v>195460</v>
      </c>
      <c r="D171" s="3" t="n">
        <v>573960</v>
      </c>
      <c r="E171" s="4" t="n">
        <v>2937</v>
      </c>
      <c r="F171" s="2" t="s">
        <v>14</v>
      </c>
      <c r="G171" s="2" t="s">
        <v>11</v>
      </c>
      <c r="H171" s="2" t="s">
        <v>15</v>
      </c>
    </row>
    <row r="172" customFormat="false" ht="15" hidden="false" customHeight="false" outlineLevel="0" collapsed="false">
      <c r="A172" s="2" t="s">
        <v>59</v>
      </c>
      <c r="B172" s="2" t="s">
        <v>16</v>
      </c>
      <c r="C172" s="3" t="n">
        <v>202740</v>
      </c>
      <c r="D172" s="3" t="n">
        <v>629420</v>
      </c>
      <c r="E172" s="4" t="n">
        <v>3105</v>
      </c>
      <c r="F172" s="2" t="s">
        <v>17</v>
      </c>
      <c r="G172" s="2" t="s">
        <v>18</v>
      </c>
      <c r="H172" s="2" t="s">
        <v>12</v>
      </c>
    </row>
    <row r="173" customFormat="false" ht="15" hidden="false" customHeight="false" outlineLevel="0" collapsed="false">
      <c r="A173" s="2" t="s">
        <v>59</v>
      </c>
      <c r="B173" s="2" t="s">
        <v>19</v>
      </c>
      <c r="C173" s="3" t="n">
        <v>215290</v>
      </c>
      <c r="D173" s="3" t="n">
        <v>682530</v>
      </c>
      <c r="E173" s="4" t="n">
        <v>3170</v>
      </c>
      <c r="F173" s="2" t="s">
        <v>20</v>
      </c>
      <c r="G173" s="2" t="s">
        <v>18</v>
      </c>
      <c r="H173" s="2" t="s">
        <v>15</v>
      </c>
    </row>
    <row r="174" customFormat="false" ht="15" hidden="false" customHeight="false" outlineLevel="0" collapsed="false">
      <c r="A174" s="2" t="s">
        <v>59</v>
      </c>
      <c r="B174" s="2" t="s">
        <v>21</v>
      </c>
      <c r="C174" s="3" t="n">
        <v>203560</v>
      </c>
      <c r="D174" s="3" t="n">
        <v>641900</v>
      </c>
      <c r="E174" s="4" t="n">
        <v>3153</v>
      </c>
      <c r="F174" s="2" t="s">
        <v>22</v>
      </c>
      <c r="G174" s="2" t="s">
        <v>23</v>
      </c>
      <c r="H174" s="2" t="s">
        <v>12</v>
      </c>
    </row>
    <row r="175" customFormat="false" ht="15" hidden="false" customHeight="false" outlineLevel="0" collapsed="false">
      <c r="A175" s="2" t="s">
        <v>59</v>
      </c>
      <c r="B175" s="2" t="s">
        <v>24</v>
      </c>
      <c r="C175" s="3" t="n">
        <v>204360</v>
      </c>
      <c r="D175" s="3" t="n">
        <v>657340</v>
      </c>
      <c r="E175" s="5" t="n">
        <f aca="false">D175*1000/C175</f>
        <v>3216.57858680759</v>
      </c>
      <c r="F175" s="2" t="s">
        <v>25</v>
      </c>
      <c r="G175" s="2" t="s">
        <v>23</v>
      </c>
      <c r="H175" s="2" t="s">
        <v>26</v>
      </c>
    </row>
    <row r="176" customFormat="false" ht="15" hidden="false" customHeight="false" outlineLevel="0" collapsed="false">
      <c r="A176" s="2" t="s">
        <v>59</v>
      </c>
      <c r="B176" s="2" t="s">
        <v>27</v>
      </c>
      <c r="C176" s="3" t="n">
        <v>200320</v>
      </c>
      <c r="D176" s="3" t="n">
        <v>753540</v>
      </c>
      <c r="E176" s="4" t="n">
        <v>3762</v>
      </c>
      <c r="F176" s="2" t="s">
        <v>28</v>
      </c>
      <c r="G176" s="2" t="s">
        <v>29</v>
      </c>
      <c r="H176" s="2" t="s">
        <v>12</v>
      </c>
    </row>
    <row r="177" customFormat="false" ht="15" hidden="false" customHeight="false" outlineLevel="0" collapsed="false">
      <c r="A177" s="2" t="s">
        <v>59</v>
      </c>
      <c r="B177" s="2" t="s">
        <v>30</v>
      </c>
      <c r="C177" s="3" t="n">
        <v>194650</v>
      </c>
      <c r="D177" s="3" t="n">
        <v>675730</v>
      </c>
      <c r="E177" s="4" t="n">
        <v>3472</v>
      </c>
      <c r="F177" s="2" t="s">
        <v>31</v>
      </c>
      <c r="G177" s="2" t="s">
        <v>29</v>
      </c>
      <c r="H177" s="2" t="s">
        <v>15</v>
      </c>
    </row>
    <row r="178" customFormat="false" ht="15" hidden="false" customHeight="false" outlineLevel="0" collapsed="false">
      <c r="A178" s="2" t="s">
        <v>59</v>
      </c>
      <c r="B178" s="2" t="s">
        <v>32</v>
      </c>
      <c r="C178" s="3" t="n">
        <v>191410</v>
      </c>
      <c r="D178" s="3" t="n">
        <v>597780</v>
      </c>
      <c r="E178" s="4" t="n">
        <v>3123</v>
      </c>
      <c r="F178" s="2" t="s">
        <v>33</v>
      </c>
      <c r="G178" s="2" t="s">
        <v>34</v>
      </c>
      <c r="H178" s="2" t="s">
        <v>15</v>
      </c>
    </row>
    <row r="179" customFormat="false" ht="15" hidden="false" customHeight="false" outlineLevel="0" collapsed="false">
      <c r="A179" s="2" t="s">
        <v>59</v>
      </c>
      <c r="B179" s="2" t="s">
        <v>35</v>
      </c>
      <c r="C179" s="3" t="n">
        <v>227430</v>
      </c>
      <c r="D179" s="3" t="n">
        <v>759150</v>
      </c>
      <c r="E179" s="4" t="n">
        <v>3338</v>
      </c>
      <c r="F179" s="2" t="s">
        <v>36</v>
      </c>
      <c r="G179" s="2" t="s">
        <v>37</v>
      </c>
      <c r="H179" s="2" t="s">
        <v>12</v>
      </c>
    </row>
    <row r="180" customFormat="false" ht="15" hidden="false" customHeight="false" outlineLevel="0" collapsed="false">
      <c r="A180" s="2" t="s">
        <v>59</v>
      </c>
      <c r="B180" s="2" t="s">
        <v>39</v>
      </c>
      <c r="C180" s="3" t="n">
        <v>214880</v>
      </c>
      <c r="D180" s="3" t="n">
        <v>792890</v>
      </c>
      <c r="E180" s="4" t="n">
        <v>3690</v>
      </c>
      <c r="F180" s="2" t="s">
        <v>40</v>
      </c>
      <c r="G180" s="2" t="s">
        <v>37</v>
      </c>
      <c r="H180" s="2" t="s">
        <v>15</v>
      </c>
    </row>
    <row r="181" customFormat="false" ht="15" hidden="false" customHeight="false" outlineLevel="0" collapsed="false">
      <c r="A181" s="2" t="s">
        <v>59</v>
      </c>
      <c r="B181" s="2" t="s">
        <v>41</v>
      </c>
      <c r="C181" s="3" t="n">
        <v>194300</v>
      </c>
      <c r="D181" s="3" t="n">
        <v>726900</v>
      </c>
      <c r="E181" s="4" t="n">
        <v>3742</v>
      </c>
      <c r="F181" s="2" t="s">
        <v>42</v>
      </c>
      <c r="G181" s="2" t="s">
        <v>43</v>
      </c>
      <c r="H181" s="2" t="s">
        <v>15</v>
      </c>
    </row>
    <row r="182" customFormat="false" ht="15" hidden="false" customHeight="false" outlineLevel="0" collapsed="false">
      <c r="A182" s="2" t="s">
        <v>60</v>
      </c>
      <c r="B182" s="2" t="s">
        <v>9</v>
      </c>
      <c r="C182" s="3" t="n">
        <v>92270</v>
      </c>
      <c r="D182" s="3" t="n">
        <v>185720</v>
      </c>
      <c r="E182" s="4" t="n">
        <v>2012</v>
      </c>
      <c r="F182" s="2" t="s">
        <v>10</v>
      </c>
      <c r="G182" s="2" t="s">
        <v>11</v>
      </c>
      <c r="H182" s="2" t="s">
        <v>12</v>
      </c>
    </row>
    <row r="183" customFormat="false" ht="15" hidden="false" customHeight="false" outlineLevel="0" collapsed="false">
      <c r="A183" s="2" t="s">
        <v>60</v>
      </c>
      <c r="B183" s="2" t="s">
        <v>13</v>
      </c>
      <c r="C183" s="3" t="n">
        <v>85790</v>
      </c>
      <c r="D183" s="3" t="n">
        <v>144800</v>
      </c>
      <c r="E183" s="4" t="n">
        <v>1688</v>
      </c>
      <c r="F183" s="2" t="s">
        <v>14</v>
      </c>
      <c r="G183" s="2" t="s">
        <v>11</v>
      </c>
      <c r="H183" s="2" t="s">
        <v>15</v>
      </c>
    </row>
    <row r="184" customFormat="false" ht="15" hidden="false" customHeight="false" outlineLevel="0" collapsed="false">
      <c r="A184" s="2" t="s">
        <v>60</v>
      </c>
      <c r="B184" s="2" t="s">
        <v>16</v>
      </c>
      <c r="C184" s="3" t="n">
        <v>87410</v>
      </c>
      <c r="D184" s="3" t="n">
        <v>167450</v>
      </c>
      <c r="E184" s="4" t="n">
        <v>1916</v>
      </c>
      <c r="F184" s="2" t="s">
        <v>17</v>
      </c>
      <c r="G184" s="2" t="s">
        <v>18</v>
      </c>
      <c r="H184" s="2" t="s">
        <v>12</v>
      </c>
    </row>
    <row r="185" customFormat="false" ht="15" hidden="false" customHeight="false" outlineLevel="0" collapsed="false">
      <c r="A185" s="2" t="s">
        <v>60</v>
      </c>
      <c r="B185" s="2" t="s">
        <v>19</v>
      </c>
      <c r="C185" s="3" t="n">
        <v>89840</v>
      </c>
      <c r="D185" s="3" t="n">
        <v>148760</v>
      </c>
      <c r="E185" s="4" t="n">
        <v>1656</v>
      </c>
      <c r="F185" s="2" t="s">
        <v>20</v>
      </c>
      <c r="G185" s="2" t="s">
        <v>18</v>
      </c>
      <c r="H185" s="2" t="s">
        <v>15</v>
      </c>
    </row>
    <row r="186" customFormat="false" ht="15" hidden="false" customHeight="false" outlineLevel="0" collapsed="false">
      <c r="A186" s="2" t="s">
        <v>60</v>
      </c>
      <c r="B186" s="2" t="s">
        <v>21</v>
      </c>
      <c r="C186" s="3" t="n">
        <v>92670</v>
      </c>
      <c r="D186" s="3" t="n">
        <v>171440</v>
      </c>
      <c r="E186" s="4" t="n">
        <v>1850</v>
      </c>
      <c r="F186" s="2" t="s">
        <v>22</v>
      </c>
      <c r="G186" s="2" t="s">
        <v>23</v>
      </c>
      <c r="H186" s="2" t="s">
        <v>12</v>
      </c>
    </row>
    <row r="187" customFormat="false" ht="15" hidden="false" customHeight="false" outlineLevel="0" collapsed="false">
      <c r="A187" s="2" t="s">
        <v>60</v>
      </c>
      <c r="B187" s="2" t="s">
        <v>24</v>
      </c>
      <c r="C187" s="3" t="n">
        <v>95910</v>
      </c>
      <c r="D187" s="3" t="n">
        <v>189010</v>
      </c>
      <c r="E187" s="5" t="n">
        <f aca="false">D187*1000/C187</f>
        <v>1970.70169950996</v>
      </c>
      <c r="F187" s="2" t="s">
        <v>25</v>
      </c>
      <c r="G187" s="2" t="s">
        <v>23</v>
      </c>
      <c r="H187" s="2" t="s">
        <v>26</v>
      </c>
    </row>
    <row r="188" customFormat="false" ht="15" hidden="false" customHeight="false" outlineLevel="0" collapsed="false">
      <c r="A188" s="2" t="s">
        <v>60</v>
      </c>
      <c r="B188" s="2" t="s">
        <v>27</v>
      </c>
      <c r="C188" s="3" t="n">
        <v>89840</v>
      </c>
      <c r="D188" s="3" t="n">
        <v>192510</v>
      </c>
      <c r="E188" s="4" t="n">
        <v>2143</v>
      </c>
      <c r="F188" s="2" t="s">
        <v>28</v>
      </c>
      <c r="G188" s="2" t="s">
        <v>29</v>
      </c>
      <c r="H188" s="2" t="s">
        <v>12</v>
      </c>
    </row>
    <row r="189" customFormat="false" ht="15" hidden="false" customHeight="false" outlineLevel="0" collapsed="false">
      <c r="A189" s="2" t="s">
        <v>60</v>
      </c>
      <c r="B189" s="2" t="s">
        <v>30</v>
      </c>
      <c r="C189" s="3" t="n">
        <v>93070</v>
      </c>
      <c r="D189" s="3" t="n">
        <v>191530</v>
      </c>
      <c r="E189" s="4" t="n">
        <v>2058</v>
      </c>
      <c r="F189" s="2" t="s">
        <v>31</v>
      </c>
      <c r="G189" s="2" t="s">
        <v>29</v>
      </c>
      <c r="H189" s="2" t="s">
        <v>15</v>
      </c>
    </row>
    <row r="190" customFormat="false" ht="15" hidden="false" customHeight="false" outlineLevel="0" collapsed="false">
      <c r="A190" s="2" t="s">
        <v>60</v>
      </c>
      <c r="B190" s="2" t="s">
        <v>32</v>
      </c>
      <c r="C190" s="3" t="n">
        <v>94700</v>
      </c>
      <c r="D190" s="3" t="n">
        <v>167450</v>
      </c>
      <c r="E190" s="4" t="n">
        <v>1768</v>
      </c>
      <c r="F190" s="2" t="s">
        <v>33</v>
      </c>
      <c r="G190" s="2" t="s">
        <v>34</v>
      </c>
      <c r="H190" s="2" t="s">
        <v>15</v>
      </c>
    </row>
    <row r="191" customFormat="false" ht="15" hidden="false" customHeight="false" outlineLevel="0" collapsed="false">
      <c r="A191" s="2" t="s">
        <v>60</v>
      </c>
      <c r="B191" s="2" t="s">
        <v>35</v>
      </c>
      <c r="C191" s="3" t="n">
        <v>128280</v>
      </c>
      <c r="D191" s="3" t="n">
        <v>288590</v>
      </c>
      <c r="E191" s="4" t="n">
        <v>2250</v>
      </c>
      <c r="F191" s="2" t="s">
        <v>36</v>
      </c>
      <c r="G191" s="2" t="s">
        <v>37</v>
      </c>
      <c r="H191" s="2" t="s">
        <v>12</v>
      </c>
    </row>
    <row r="192" customFormat="false" ht="15" hidden="false" customHeight="false" outlineLevel="0" collapsed="false">
      <c r="A192" s="2" t="s">
        <v>60</v>
      </c>
      <c r="B192" s="2" t="s">
        <v>39</v>
      </c>
      <c r="C192" s="3" t="n">
        <v>139210</v>
      </c>
      <c r="D192" s="3" t="n">
        <v>287970</v>
      </c>
      <c r="E192" s="4" t="n">
        <v>2069</v>
      </c>
      <c r="F192" s="2" t="s">
        <v>40</v>
      </c>
      <c r="G192" s="2" t="s">
        <v>37</v>
      </c>
      <c r="H192" s="2" t="s">
        <v>15</v>
      </c>
    </row>
    <row r="193" customFormat="false" ht="15" hidden="false" customHeight="false" outlineLevel="0" collapsed="false">
      <c r="A193" s="2" t="s">
        <v>60</v>
      </c>
      <c r="B193" s="2" t="s">
        <v>41</v>
      </c>
      <c r="C193" s="3" t="n">
        <v>123000</v>
      </c>
      <c r="D193" s="3" t="n">
        <v>290800</v>
      </c>
      <c r="E193" s="4" t="n">
        <v>2363</v>
      </c>
      <c r="F193" s="2" t="s">
        <v>42</v>
      </c>
      <c r="G193" s="2" t="s">
        <v>43</v>
      </c>
      <c r="H193" s="2" t="s">
        <v>15</v>
      </c>
    </row>
    <row r="194" customFormat="false" ht="15" hidden="false" customHeight="false" outlineLevel="0" collapsed="false">
      <c r="A194" s="2" t="s">
        <v>61</v>
      </c>
      <c r="B194" s="2" t="s">
        <v>41</v>
      </c>
      <c r="C194" s="3" t="n">
        <v>93100</v>
      </c>
      <c r="D194" s="3" t="n">
        <v>269800</v>
      </c>
      <c r="E194" s="4" t="n">
        <v>2899</v>
      </c>
      <c r="F194" s="2" t="s">
        <v>42</v>
      </c>
      <c r="G194" s="2" t="s">
        <v>43</v>
      </c>
      <c r="H194" s="2" t="s">
        <v>62</v>
      </c>
    </row>
    <row r="195" customFormat="false" ht="15" hidden="false" customHeight="false" outlineLevel="0" collapsed="false">
      <c r="A195" s="2" t="s">
        <v>63</v>
      </c>
      <c r="B195" s="2" t="s">
        <v>9</v>
      </c>
      <c r="C195" s="3" t="n">
        <v>64750</v>
      </c>
      <c r="D195" s="3" t="n">
        <v>185850</v>
      </c>
      <c r="E195" s="4" t="n">
        <v>2870</v>
      </c>
      <c r="F195" s="2" t="s">
        <v>10</v>
      </c>
      <c r="G195" s="2" t="s">
        <v>11</v>
      </c>
      <c r="H195" s="2" t="s">
        <v>12</v>
      </c>
    </row>
    <row r="196" customFormat="false" ht="15" hidden="false" customHeight="false" outlineLevel="0" collapsed="false">
      <c r="A196" s="2" t="s">
        <v>63</v>
      </c>
      <c r="B196" s="2" t="s">
        <v>13</v>
      </c>
      <c r="C196" s="3" t="n">
        <v>63930</v>
      </c>
      <c r="D196" s="3" t="n">
        <v>191810</v>
      </c>
      <c r="E196" s="4" t="n">
        <v>3000</v>
      </c>
      <c r="F196" s="2" t="s">
        <v>14</v>
      </c>
      <c r="G196" s="2" t="s">
        <v>11</v>
      </c>
      <c r="H196" s="2" t="s">
        <v>15</v>
      </c>
    </row>
    <row r="197" customFormat="false" ht="15" hidden="false" customHeight="false" outlineLevel="0" collapsed="false">
      <c r="A197" s="2" t="s">
        <v>63</v>
      </c>
      <c r="B197" s="2" t="s">
        <v>16</v>
      </c>
      <c r="C197" s="3" t="n">
        <v>57470</v>
      </c>
      <c r="D197" s="3" t="n">
        <v>177250</v>
      </c>
      <c r="E197" s="4" t="n">
        <v>3084</v>
      </c>
      <c r="F197" s="2" t="s">
        <v>17</v>
      </c>
      <c r="G197" s="2" t="s">
        <v>18</v>
      </c>
      <c r="H197" s="2" t="s">
        <v>12</v>
      </c>
    </row>
    <row r="198" customFormat="false" ht="15" hidden="false" customHeight="false" outlineLevel="0" collapsed="false">
      <c r="A198" s="2" t="s">
        <v>63</v>
      </c>
      <c r="B198" s="2" t="s">
        <v>19</v>
      </c>
      <c r="C198" s="3" t="n">
        <v>59490</v>
      </c>
      <c r="D198" s="3" t="n">
        <v>174000</v>
      </c>
      <c r="E198" s="4" t="n">
        <v>2925</v>
      </c>
      <c r="F198" s="2" t="s">
        <v>20</v>
      </c>
      <c r="G198" s="2" t="s">
        <v>18</v>
      </c>
      <c r="H198" s="2" t="s">
        <v>15</v>
      </c>
    </row>
    <row r="199" customFormat="false" ht="15" hidden="false" customHeight="false" outlineLevel="0" collapsed="false">
      <c r="A199" s="2" t="s">
        <v>63</v>
      </c>
      <c r="B199" s="2" t="s">
        <v>21</v>
      </c>
      <c r="C199" s="3" t="n">
        <v>59890</v>
      </c>
      <c r="D199" s="3" t="n">
        <v>164060</v>
      </c>
      <c r="E199" s="4" t="n">
        <v>2739</v>
      </c>
      <c r="F199" s="2" t="s">
        <v>22</v>
      </c>
      <c r="G199" s="2" t="s">
        <v>23</v>
      </c>
      <c r="H199" s="2" t="s">
        <v>12</v>
      </c>
    </row>
    <row r="200" customFormat="false" ht="15" hidden="false" customHeight="false" outlineLevel="0" collapsed="false">
      <c r="A200" s="2" t="s">
        <v>63</v>
      </c>
      <c r="B200" s="2" t="s">
        <v>24</v>
      </c>
      <c r="C200" s="3" t="n">
        <v>57060</v>
      </c>
      <c r="D200" s="3" t="n">
        <v>170150</v>
      </c>
      <c r="E200" s="4" t="n">
        <v>2982</v>
      </c>
      <c r="F200" s="2" t="s">
        <v>25</v>
      </c>
      <c r="G200" s="2" t="s">
        <v>23</v>
      </c>
      <c r="H200" s="2" t="s">
        <v>15</v>
      </c>
    </row>
    <row r="201" customFormat="false" ht="15" hidden="false" customHeight="false" outlineLevel="0" collapsed="false">
      <c r="A201" s="2" t="s">
        <v>63</v>
      </c>
      <c r="B201" s="2" t="s">
        <v>27</v>
      </c>
      <c r="C201" s="3" t="n">
        <v>57460</v>
      </c>
      <c r="D201" s="3" t="n">
        <v>181120</v>
      </c>
      <c r="E201" s="4" t="n">
        <v>3152</v>
      </c>
      <c r="F201" s="2" t="s">
        <v>28</v>
      </c>
      <c r="G201" s="2" t="s">
        <v>29</v>
      </c>
      <c r="H201" s="2" t="s">
        <v>12</v>
      </c>
    </row>
    <row r="202" customFormat="false" ht="15" hidden="false" customHeight="false" outlineLevel="0" collapsed="false">
      <c r="A202" s="2" t="s">
        <v>63</v>
      </c>
      <c r="B202" s="2" t="s">
        <v>30</v>
      </c>
      <c r="C202" s="3" t="n">
        <v>55040</v>
      </c>
      <c r="D202" s="3" t="n">
        <v>171670</v>
      </c>
      <c r="E202" s="4" t="n">
        <v>3119</v>
      </c>
      <c r="F202" s="2" t="s">
        <v>31</v>
      </c>
      <c r="G202" s="2" t="s">
        <v>29</v>
      </c>
      <c r="H202" s="2" t="s">
        <v>15</v>
      </c>
    </row>
    <row r="203" customFormat="false" ht="15" hidden="false" customHeight="false" outlineLevel="0" collapsed="false">
      <c r="A203" s="2" t="s">
        <v>63</v>
      </c>
      <c r="B203" s="2" t="s">
        <v>32</v>
      </c>
      <c r="C203" s="3" t="n">
        <v>53010</v>
      </c>
      <c r="D203" s="3" t="n">
        <v>166980</v>
      </c>
      <c r="E203" s="4" t="n">
        <v>3150</v>
      </c>
      <c r="F203" s="2" t="s">
        <v>33</v>
      </c>
      <c r="G203" s="2" t="s">
        <v>34</v>
      </c>
      <c r="H203" s="2" t="s">
        <v>15</v>
      </c>
    </row>
    <row r="204" customFormat="false" ht="15" hidden="false" customHeight="false" outlineLevel="0" collapsed="false">
      <c r="A204" s="2" t="s">
        <v>63</v>
      </c>
      <c r="B204" s="2" t="s">
        <v>35</v>
      </c>
      <c r="C204" s="3" t="n">
        <v>42090</v>
      </c>
      <c r="D204" s="3" t="n">
        <v>135120</v>
      </c>
      <c r="E204" s="4" t="n">
        <v>3210</v>
      </c>
      <c r="F204" s="2" t="s">
        <v>36</v>
      </c>
      <c r="G204" s="2" t="s">
        <v>37</v>
      </c>
      <c r="H204" s="2" t="s">
        <v>12</v>
      </c>
    </row>
    <row r="205" customFormat="false" ht="15" hidden="false" customHeight="false" outlineLevel="0" collapsed="false">
      <c r="A205" s="2" t="s">
        <v>63</v>
      </c>
      <c r="B205" s="2" t="s">
        <v>39</v>
      </c>
      <c r="C205" s="3" t="n">
        <v>43710</v>
      </c>
      <c r="D205" s="3" t="n">
        <v>150120</v>
      </c>
      <c r="E205" s="4" t="n">
        <v>3435</v>
      </c>
      <c r="F205" s="2" t="s">
        <v>40</v>
      </c>
      <c r="G205" s="2" t="s">
        <v>37</v>
      </c>
      <c r="H205" s="2" t="s">
        <v>15</v>
      </c>
    </row>
    <row r="206" customFormat="false" ht="15" hidden="false" customHeight="false" outlineLevel="0" collapsed="false">
      <c r="A206" s="2" t="s">
        <v>63</v>
      </c>
      <c r="B206" s="2" t="s">
        <v>41</v>
      </c>
      <c r="C206" s="3" t="n">
        <v>45700</v>
      </c>
      <c r="D206" s="3" t="n">
        <v>159600</v>
      </c>
      <c r="E206" s="4" t="n">
        <v>3490</v>
      </c>
      <c r="F206" s="2" t="s">
        <v>42</v>
      </c>
      <c r="G206" s="2" t="s">
        <v>43</v>
      </c>
      <c r="H206" s="2" t="s">
        <v>15</v>
      </c>
    </row>
    <row r="207" customFormat="false" ht="15" hidden="false" customHeight="false" outlineLevel="0" collapsed="false">
      <c r="A207" s="2" t="s">
        <v>64</v>
      </c>
      <c r="B207" s="2" t="s">
        <v>9</v>
      </c>
      <c r="C207" s="3" t="n">
        <v>196680</v>
      </c>
      <c r="D207" s="3" t="n">
        <v>554180</v>
      </c>
      <c r="E207" s="4" t="n">
        <v>2818</v>
      </c>
      <c r="F207" s="2" t="s">
        <v>10</v>
      </c>
      <c r="G207" s="2" t="s">
        <v>11</v>
      </c>
      <c r="H207" s="2" t="s">
        <v>12</v>
      </c>
    </row>
    <row r="208" customFormat="false" ht="15" hidden="false" customHeight="false" outlineLevel="0" collapsed="false">
      <c r="A208" s="2" t="s">
        <v>64</v>
      </c>
      <c r="B208" s="2" t="s">
        <v>13</v>
      </c>
      <c r="C208" s="3" t="n">
        <v>191420</v>
      </c>
      <c r="D208" s="3" t="n">
        <v>456020</v>
      </c>
      <c r="E208" s="4" t="n">
        <v>2382</v>
      </c>
      <c r="F208" s="2" t="s">
        <v>14</v>
      </c>
      <c r="G208" s="2" t="s">
        <v>11</v>
      </c>
      <c r="H208" s="2" t="s">
        <v>15</v>
      </c>
    </row>
    <row r="209" customFormat="false" ht="15" hidden="false" customHeight="false" outlineLevel="0" collapsed="false">
      <c r="A209" s="2" t="s">
        <v>64</v>
      </c>
      <c r="B209" s="2" t="s">
        <v>16</v>
      </c>
      <c r="C209" s="3" t="n">
        <v>190600</v>
      </c>
      <c r="D209" s="3" t="n">
        <v>498330</v>
      </c>
      <c r="E209" s="4" t="n">
        <v>2615</v>
      </c>
      <c r="F209" s="2" t="s">
        <v>17</v>
      </c>
      <c r="G209" s="2" t="s">
        <v>18</v>
      </c>
      <c r="H209" s="2" t="s">
        <v>12</v>
      </c>
    </row>
    <row r="210" customFormat="false" ht="15" hidden="false" customHeight="false" outlineLevel="0" collapsed="false">
      <c r="A210" s="2" t="s">
        <v>64</v>
      </c>
      <c r="B210" s="2" t="s">
        <v>19</v>
      </c>
      <c r="C210" s="3" t="n">
        <v>216500</v>
      </c>
      <c r="D210" s="3" t="n">
        <v>586880</v>
      </c>
      <c r="E210" s="4" t="n">
        <v>2711</v>
      </c>
      <c r="F210" s="2" t="s">
        <v>20</v>
      </c>
      <c r="G210" s="2" t="s">
        <v>18</v>
      </c>
      <c r="H210" s="2" t="s">
        <v>15</v>
      </c>
    </row>
    <row r="211" customFormat="false" ht="15" hidden="false" customHeight="false" outlineLevel="0" collapsed="false">
      <c r="A211" s="2" t="s">
        <v>64</v>
      </c>
      <c r="B211" s="2" t="s">
        <v>21</v>
      </c>
      <c r="C211" s="3" t="n">
        <v>233500</v>
      </c>
      <c r="D211" s="3" t="n">
        <v>593500</v>
      </c>
      <c r="E211" s="4" t="n">
        <v>2542</v>
      </c>
      <c r="F211" s="2" t="s">
        <v>22</v>
      </c>
      <c r="G211" s="2" t="s">
        <v>23</v>
      </c>
      <c r="H211" s="2" t="s">
        <v>12</v>
      </c>
    </row>
    <row r="212" customFormat="false" ht="15" hidden="false" customHeight="false" outlineLevel="0" collapsed="false">
      <c r="A212" s="2" t="s">
        <v>64</v>
      </c>
      <c r="B212" s="2" t="s">
        <v>24</v>
      </c>
      <c r="C212" s="3" t="n">
        <v>234310</v>
      </c>
      <c r="D212" s="3" t="n">
        <v>604360</v>
      </c>
      <c r="E212" s="5" t="n">
        <f aca="false">D212*1000/C212</f>
        <v>2579.31799752465</v>
      </c>
      <c r="F212" s="2" t="s">
        <v>25</v>
      </c>
      <c r="G212" s="2" t="s">
        <v>23</v>
      </c>
      <c r="H212" s="2" t="s">
        <v>26</v>
      </c>
    </row>
    <row r="213" customFormat="false" ht="15" hidden="false" customHeight="false" outlineLevel="0" collapsed="false">
      <c r="A213" s="2" t="s">
        <v>64</v>
      </c>
      <c r="B213" s="2" t="s">
        <v>27</v>
      </c>
      <c r="C213" s="3" t="n">
        <v>231060</v>
      </c>
      <c r="D213" s="3" t="n">
        <v>702770</v>
      </c>
      <c r="E213" s="4" t="n">
        <v>3041</v>
      </c>
      <c r="F213" s="2" t="s">
        <v>28</v>
      </c>
      <c r="G213" s="2" t="s">
        <v>29</v>
      </c>
      <c r="H213" s="2" t="s">
        <v>12</v>
      </c>
    </row>
    <row r="214" customFormat="false" ht="15" hidden="false" customHeight="false" outlineLevel="0" collapsed="false">
      <c r="A214" s="2" t="s">
        <v>64</v>
      </c>
      <c r="B214" s="2" t="s">
        <v>30</v>
      </c>
      <c r="C214" s="3" t="n">
        <v>221360</v>
      </c>
      <c r="D214" s="3" t="n">
        <v>540350</v>
      </c>
      <c r="E214" s="4" t="n">
        <v>2441</v>
      </c>
      <c r="F214" s="2" t="s">
        <v>31</v>
      </c>
      <c r="G214" s="2" t="s">
        <v>29</v>
      </c>
      <c r="H214" s="2" t="s">
        <v>15</v>
      </c>
    </row>
    <row r="215" customFormat="false" ht="15" hidden="false" customHeight="false" outlineLevel="0" collapsed="false">
      <c r="A215" s="2" t="s">
        <v>64</v>
      </c>
      <c r="B215" s="2" t="s">
        <v>32</v>
      </c>
      <c r="C215" s="3" t="n">
        <v>216910</v>
      </c>
      <c r="D215" s="3" t="n">
        <v>568970</v>
      </c>
      <c r="E215" s="4" t="n">
        <v>2623</v>
      </c>
      <c r="F215" s="2" t="s">
        <v>33</v>
      </c>
      <c r="G215" s="2" t="s">
        <v>34</v>
      </c>
      <c r="H215" s="2" t="s">
        <v>15</v>
      </c>
    </row>
    <row r="216" customFormat="false" ht="15" hidden="false" customHeight="false" outlineLevel="0" collapsed="false">
      <c r="A216" s="2" t="s">
        <v>64</v>
      </c>
      <c r="B216" s="2" t="s">
        <v>35</v>
      </c>
      <c r="C216" s="3" t="n">
        <v>274780</v>
      </c>
      <c r="D216" s="3" t="n">
        <v>777410</v>
      </c>
      <c r="E216" s="4" t="n">
        <v>2829</v>
      </c>
      <c r="F216" s="2" t="s">
        <v>36</v>
      </c>
      <c r="G216" s="2" t="s">
        <v>37</v>
      </c>
      <c r="H216" s="2" t="s">
        <v>12</v>
      </c>
    </row>
    <row r="217" customFormat="false" ht="15" hidden="false" customHeight="false" outlineLevel="0" collapsed="false">
      <c r="A217" s="2" t="s">
        <v>64</v>
      </c>
      <c r="B217" s="2" t="s">
        <v>39</v>
      </c>
      <c r="C217" s="3" t="n">
        <v>273160</v>
      </c>
      <c r="D217" s="3" t="n">
        <v>817830</v>
      </c>
      <c r="E217" s="4" t="n">
        <v>2994</v>
      </c>
      <c r="F217" s="2" t="s">
        <v>40</v>
      </c>
      <c r="G217" s="2" t="s">
        <v>37</v>
      </c>
      <c r="H217" s="2" t="s">
        <v>15</v>
      </c>
    </row>
    <row r="218" customFormat="false" ht="15" hidden="false" customHeight="false" outlineLevel="0" collapsed="false">
      <c r="A218" s="2" t="s">
        <v>64</v>
      </c>
      <c r="B218" s="2" t="s">
        <v>41</v>
      </c>
      <c r="C218" s="3" t="n">
        <v>271500</v>
      </c>
      <c r="D218" s="3" t="n">
        <v>837900</v>
      </c>
      <c r="E218" s="4" t="n">
        <v>3086</v>
      </c>
      <c r="F218" s="2" t="s">
        <v>42</v>
      </c>
      <c r="G218" s="2" t="s">
        <v>43</v>
      </c>
      <c r="H218" s="2" t="s">
        <v>15</v>
      </c>
    </row>
    <row r="219" customFormat="false" ht="15" hidden="false" customHeight="false" outlineLevel="0" collapsed="false">
      <c r="A219" s="2" t="s">
        <v>65</v>
      </c>
      <c r="B219" s="2" t="s">
        <v>9</v>
      </c>
      <c r="C219" s="3" t="n">
        <v>185750</v>
      </c>
      <c r="D219" s="3" t="n">
        <v>580430</v>
      </c>
      <c r="E219" s="4" t="n">
        <v>3125</v>
      </c>
      <c r="F219" s="2" t="s">
        <v>10</v>
      </c>
      <c r="G219" s="2" t="s">
        <v>11</v>
      </c>
      <c r="H219" s="2" t="s">
        <v>12</v>
      </c>
    </row>
    <row r="220" customFormat="false" ht="15" hidden="false" customHeight="false" outlineLevel="0" collapsed="false">
      <c r="A220" s="2" t="s">
        <v>65</v>
      </c>
      <c r="B220" s="2" t="s">
        <v>13</v>
      </c>
      <c r="C220" s="3" t="n">
        <v>166320</v>
      </c>
      <c r="D220" s="3" t="n">
        <v>500400</v>
      </c>
      <c r="E220" s="4" t="n">
        <v>3009</v>
      </c>
      <c r="F220" s="2" t="s">
        <v>14</v>
      </c>
      <c r="G220" s="2" t="s">
        <v>11</v>
      </c>
      <c r="H220" s="2" t="s">
        <v>15</v>
      </c>
    </row>
    <row r="221" customFormat="false" ht="15" hidden="false" customHeight="false" outlineLevel="0" collapsed="false">
      <c r="A221" s="2" t="s">
        <v>65</v>
      </c>
      <c r="B221" s="2" t="s">
        <v>16</v>
      </c>
      <c r="C221" s="3" t="n">
        <v>192220</v>
      </c>
      <c r="D221" s="3" t="n">
        <v>609710</v>
      </c>
      <c r="E221" s="4" t="n">
        <v>3172</v>
      </c>
      <c r="F221" s="2" t="s">
        <v>17</v>
      </c>
      <c r="G221" s="2" t="s">
        <v>18</v>
      </c>
      <c r="H221" s="2" t="s">
        <v>12</v>
      </c>
    </row>
    <row r="222" customFormat="false" ht="15" hidden="false" customHeight="false" outlineLevel="0" collapsed="false">
      <c r="A222" s="2" t="s">
        <v>65</v>
      </c>
      <c r="B222" s="2" t="s">
        <v>19</v>
      </c>
      <c r="C222" s="3" t="n">
        <v>208000</v>
      </c>
      <c r="D222" s="3" t="n">
        <v>681060</v>
      </c>
      <c r="E222" s="4" t="n">
        <v>3274</v>
      </c>
      <c r="F222" s="2" t="s">
        <v>20</v>
      </c>
      <c r="G222" s="2" t="s">
        <v>18</v>
      </c>
      <c r="H222" s="2" t="s">
        <v>15</v>
      </c>
    </row>
    <row r="223" customFormat="false" ht="15" hidden="false" customHeight="false" outlineLevel="0" collapsed="false">
      <c r="A223" s="2" t="s">
        <v>65</v>
      </c>
      <c r="B223" s="2" t="s">
        <v>21</v>
      </c>
      <c r="C223" s="3" t="n">
        <v>203960</v>
      </c>
      <c r="D223" s="3" t="n">
        <v>636770</v>
      </c>
      <c r="E223" s="4" t="n">
        <v>3122</v>
      </c>
      <c r="F223" s="2" t="s">
        <v>22</v>
      </c>
      <c r="G223" s="2" t="s">
        <v>23</v>
      </c>
      <c r="H223" s="2" t="s">
        <v>12</v>
      </c>
    </row>
    <row r="224" customFormat="false" ht="15" hidden="false" customHeight="false" outlineLevel="0" collapsed="false">
      <c r="A224" s="2" t="s">
        <v>65</v>
      </c>
      <c r="B224" s="2" t="s">
        <v>24</v>
      </c>
      <c r="C224" s="3" t="n">
        <v>203150</v>
      </c>
      <c r="D224" s="3" t="n">
        <v>688020</v>
      </c>
      <c r="E224" s="4" t="n">
        <v>3387</v>
      </c>
      <c r="F224" s="2" t="s">
        <v>25</v>
      </c>
      <c r="G224" s="2" t="s">
        <v>23</v>
      </c>
      <c r="H224" s="2" t="s">
        <v>15</v>
      </c>
    </row>
    <row r="225" customFormat="false" ht="15" hidden="false" customHeight="false" outlineLevel="0" collapsed="false">
      <c r="A225" s="2" t="s">
        <v>65</v>
      </c>
      <c r="B225" s="2" t="s">
        <v>27</v>
      </c>
      <c r="C225" s="3" t="n">
        <v>205170</v>
      </c>
      <c r="D225" s="3" t="n">
        <v>796680</v>
      </c>
      <c r="E225" s="4" t="n">
        <v>3883</v>
      </c>
      <c r="F225" s="2" t="s">
        <v>28</v>
      </c>
      <c r="G225" s="2" t="s">
        <v>29</v>
      </c>
      <c r="H225" s="2" t="s">
        <v>12</v>
      </c>
    </row>
    <row r="226" customFormat="false" ht="15" hidden="false" customHeight="false" outlineLevel="0" collapsed="false">
      <c r="A226" s="2" t="s">
        <v>65</v>
      </c>
      <c r="B226" s="2" t="s">
        <v>30</v>
      </c>
      <c r="C226" s="3" t="n">
        <v>204360</v>
      </c>
      <c r="D226" s="3" t="n">
        <v>698160</v>
      </c>
      <c r="E226" s="4" t="n">
        <v>3416</v>
      </c>
      <c r="F226" s="2" t="s">
        <v>31</v>
      </c>
      <c r="G226" s="2" t="s">
        <v>29</v>
      </c>
      <c r="H226" s="2" t="s">
        <v>15</v>
      </c>
    </row>
    <row r="227" customFormat="false" ht="15" hidden="false" customHeight="false" outlineLevel="0" collapsed="false">
      <c r="A227" s="2" t="s">
        <v>65</v>
      </c>
      <c r="B227" s="2" t="s">
        <v>32</v>
      </c>
      <c r="C227" s="3" t="n">
        <v>195860</v>
      </c>
      <c r="D227" s="3" t="n">
        <v>663530</v>
      </c>
      <c r="E227" s="4" t="n">
        <v>3388</v>
      </c>
      <c r="F227" s="2" t="s">
        <v>33</v>
      </c>
      <c r="G227" s="2" t="s">
        <v>34</v>
      </c>
      <c r="H227" s="2" t="s">
        <v>15</v>
      </c>
    </row>
    <row r="228" customFormat="false" ht="15" hidden="false" customHeight="false" outlineLevel="0" collapsed="false">
      <c r="A228" s="2" t="s">
        <v>65</v>
      </c>
      <c r="B228" s="2" t="s">
        <v>35</v>
      </c>
      <c r="C228" s="3" t="n">
        <v>170370</v>
      </c>
      <c r="D228" s="3" t="n">
        <v>575930</v>
      </c>
      <c r="E228" s="4" t="n">
        <v>3380</v>
      </c>
      <c r="F228" s="2" t="s">
        <v>36</v>
      </c>
      <c r="G228" s="2" t="s">
        <v>37</v>
      </c>
      <c r="H228" s="2" t="s">
        <v>12</v>
      </c>
    </row>
    <row r="229" customFormat="false" ht="15" hidden="false" customHeight="false" outlineLevel="0" collapsed="false">
      <c r="A229" s="2" t="s">
        <v>65</v>
      </c>
      <c r="B229" s="2" t="s">
        <v>39</v>
      </c>
      <c r="C229" s="3" t="n">
        <v>165510</v>
      </c>
      <c r="D229" s="3" t="n">
        <v>622830</v>
      </c>
      <c r="E229" s="4" t="n">
        <v>3763</v>
      </c>
      <c r="F229" s="2" t="s">
        <v>40</v>
      </c>
      <c r="G229" s="2" t="s">
        <v>37</v>
      </c>
      <c r="H229" s="2" t="s">
        <v>15</v>
      </c>
    </row>
    <row r="230" customFormat="false" ht="15" hidden="false" customHeight="false" outlineLevel="0" collapsed="false">
      <c r="A230" s="2" t="s">
        <v>65</v>
      </c>
      <c r="B230" s="2" t="s">
        <v>41</v>
      </c>
      <c r="C230" s="3" t="n">
        <v>155400</v>
      </c>
      <c r="D230" s="3" t="n">
        <v>594700</v>
      </c>
      <c r="E230" s="4" t="n">
        <v>3827</v>
      </c>
      <c r="F230" s="2" t="s">
        <v>42</v>
      </c>
      <c r="G230" s="2" t="s">
        <v>43</v>
      </c>
      <c r="H230" s="2" t="s">
        <v>15</v>
      </c>
    </row>
    <row r="231" customFormat="false" ht="15" hidden="false" customHeight="false" outlineLevel="0" collapsed="false">
      <c r="A231" s="2" t="s">
        <v>66</v>
      </c>
      <c r="B231" s="2" t="s">
        <v>9</v>
      </c>
      <c r="C231" s="3" t="n">
        <v>137590</v>
      </c>
      <c r="D231" s="3" t="n">
        <v>359050</v>
      </c>
      <c r="E231" s="4" t="n">
        <v>2609</v>
      </c>
      <c r="F231" s="2" t="s">
        <v>10</v>
      </c>
      <c r="G231" s="2" t="s">
        <v>11</v>
      </c>
      <c r="H231" s="2" t="s">
        <v>12</v>
      </c>
    </row>
    <row r="232" customFormat="false" ht="15" hidden="false" customHeight="false" outlineLevel="0" collapsed="false">
      <c r="A232" s="2" t="s">
        <v>66</v>
      </c>
      <c r="B232" s="2" t="s">
        <v>13</v>
      </c>
      <c r="C232" s="3" t="n">
        <v>135970</v>
      </c>
      <c r="D232" s="3" t="n">
        <v>370570</v>
      </c>
      <c r="E232" s="4" t="n">
        <v>2725</v>
      </c>
      <c r="F232" s="2" t="s">
        <v>14</v>
      </c>
      <c r="G232" s="2" t="s">
        <v>11</v>
      </c>
      <c r="H232" s="2" t="s">
        <v>15</v>
      </c>
    </row>
    <row r="233" customFormat="false" ht="15" hidden="false" customHeight="false" outlineLevel="0" collapsed="false">
      <c r="A233" s="2" t="s">
        <v>66</v>
      </c>
      <c r="B233" s="2" t="s">
        <v>16</v>
      </c>
      <c r="C233" s="3" t="n">
        <v>138400</v>
      </c>
      <c r="D233" s="3" t="n">
        <v>393020</v>
      </c>
      <c r="E233" s="4" t="n">
        <v>2840</v>
      </c>
      <c r="F233" s="2" t="s">
        <v>17</v>
      </c>
      <c r="G233" s="2" t="s">
        <v>18</v>
      </c>
      <c r="H233" s="2" t="s">
        <v>12</v>
      </c>
    </row>
    <row r="234" customFormat="false" ht="15" hidden="false" customHeight="false" outlineLevel="0" collapsed="false">
      <c r="A234" s="2" t="s">
        <v>66</v>
      </c>
      <c r="B234" s="2" t="s">
        <v>19</v>
      </c>
      <c r="C234" s="3" t="n">
        <v>142440</v>
      </c>
      <c r="D234" s="3" t="n">
        <v>370300</v>
      </c>
      <c r="E234" s="4" t="n">
        <v>2599</v>
      </c>
      <c r="F234" s="2" t="s">
        <v>20</v>
      </c>
      <c r="G234" s="2" t="s">
        <v>18</v>
      </c>
      <c r="H234" s="2" t="s">
        <v>15</v>
      </c>
    </row>
    <row r="235" customFormat="false" ht="15" hidden="false" customHeight="false" outlineLevel="0" collapsed="false">
      <c r="A235" s="2" t="s">
        <v>66</v>
      </c>
      <c r="B235" s="2" t="s">
        <v>21</v>
      </c>
      <c r="C235" s="3" t="n">
        <v>144470</v>
      </c>
      <c r="D235" s="3" t="n">
        <v>352440</v>
      </c>
      <c r="E235" s="4" t="n">
        <v>2440</v>
      </c>
      <c r="F235" s="2" t="s">
        <v>22</v>
      </c>
      <c r="G235" s="2" t="s">
        <v>23</v>
      </c>
      <c r="H235" s="2" t="s">
        <v>12</v>
      </c>
    </row>
    <row r="236" customFormat="false" ht="15" hidden="false" customHeight="false" outlineLevel="0" collapsed="false">
      <c r="A236" s="2" t="s">
        <v>66</v>
      </c>
      <c r="B236" s="2" t="s">
        <v>24</v>
      </c>
      <c r="C236" s="3" t="n">
        <v>148520</v>
      </c>
      <c r="D236" s="3" t="n">
        <v>382300</v>
      </c>
      <c r="E236" s="4" t="n">
        <v>2573</v>
      </c>
      <c r="F236" s="2" t="s">
        <v>25</v>
      </c>
      <c r="G236" s="2" t="s">
        <v>23</v>
      </c>
      <c r="H236" s="2" t="s">
        <v>15</v>
      </c>
    </row>
    <row r="237" customFormat="false" ht="15" hidden="false" customHeight="false" outlineLevel="0" collapsed="false">
      <c r="A237" s="2" t="s">
        <v>66</v>
      </c>
      <c r="B237" s="2" t="s">
        <v>27</v>
      </c>
      <c r="C237" s="3" t="n">
        <v>151750</v>
      </c>
      <c r="D237" s="3" t="n">
        <v>474660</v>
      </c>
      <c r="E237" s="4" t="n">
        <v>3128</v>
      </c>
      <c r="F237" s="2" t="s">
        <v>28</v>
      </c>
      <c r="G237" s="2" t="s">
        <v>29</v>
      </c>
      <c r="H237" s="2" t="s">
        <v>12</v>
      </c>
    </row>
    <row r="238" customFormat="false" ht="15" hidden="false" customHeight="false" outlineLevel="0" collapsed="false">
      <c r="A238" s="2" t="s">
        <v>66</v>
      </c>
      <c r="B238" s="2" t="s">
        <v>30</v>
      </c>
      <c r="C238" s="3" t="n">
        <v>149730</v>
      </c>
      <c r="D238" s="3" t="n">
        <v>422470</v>
      </c>
      <c r="E238" s="4" t="n">
        <v>2821</v>
      </c>
      <c r="F238" s="2" t="s">
        <v>31</v>
      </c>
      <c r="G238" s="2" t="s">
        <v>29</v>
      </c>
      <c r="H238" s="2" t="s">
        <v>15</v>
      </c>
    </row>
    <row r="239" customFormat="false" ht="15" hidden="false" customHeight="false" outlineLevel="0" collapsed="false">
      <c r="A239" s="2" t="s">
        <v>66</v>
      </c>
      <c r="B239" s="2" t="s">
        <v>32</v>
      </c>
      <c r="C239" s="3" t="n">
        <v>149730</v>
      </c>
      <c r="D239" s="3" t="n">
        <v>389020</v>
      </c>
      <c r="E239" s="4" t="n">
        <v>2598</v>
      </c>
      <c r="F239" s="2" t="s">
        <v>33</v>
      </c>
      <c r="G239" s="2" t="s">
        <v>34</v>
      </c>
      <c r="H239" s="2" t="s">
        <v>15</v>
      </c>
    </row>
    <row r="240" customFormat="false" ht="15" hidden="false" customHeight="false" outlineLevel="0" collapsed="false">
      <c r="A240" s="2" t="s">
        <v>67</v>
      </c>
      <c r="B240" s="2" t="s">
        <v>35</v>
      </c>
      <c r="C240" s="3" t="n">
        <v>130310</v>
      </c>
      <c r="D240" s="3" t="n">
        <v>391420</v>
      </c>
      <c r="E240" s="4" t="n">
        <v>3004</v>
      </c>
      <c r="F240" s="2" t="s">
        <v>36</v>
      </c>
      <c r="G240" s="2" t="s">
        <v>37</v>
      </c>
      <c r="H240" s="2" t="s">
        <v>12</v>
      </c>
    </row>
    <row r="241" customFormat="false" ht="15" hidden="false" customHeight="false" outlineLevel="0" collapsed="false">
      <c r="A241" s="2" t="s">
        <v>67</v>
      </c>
      <c r="B241" s="2" t="s">
        <v>39</v>
      </c>
      <c r="C241" s="3" t="n">
        <v>127070</v>
      </c>
      <c r="D241" s="3" t="n">
        <v>355700</v>
      </c>
      <c r="E241" s="4" t="n">
        <v>2799</v>
      </c>
      <c r="F241" s="2" t="s">
        <v>40</v>
      </c>
      <c r="G241" s="2" t="s">
        <v>37</v>
      </c>
      <c r="H241" s="2" t="s">
        <v>15</v>
      </c>
    </row>
    <row r="242" customFormat="false" ht="15" hidden="false" customHeight="false" outlineLevel="0" collapsed="false">
      <c r="A242" s="2" t="s">
        <v>67</v>
      </c>
      <c r="B242" s="2" t="s">
        <v>41</v>
      </c>
      <c r="C242" s="3" t="n">
        <v>133500</v>
      </c>
      <c r="D242" s="3" t="n">
        <v>432400</v>
      </c>
      <c r="E242" s="4" t="n">
        <v>3238</v>
      </c>
      <c r="F242" s="2" t="s">
        <v>42</v>
      </c>
      <c r="G242" s="2" t="s">
        <v>43</v>
      </c>
      <c r="H242" s="2" t="s">
        <v>15</v>
      </c>
    </row>
    <row r="243" customFormat="false" ht="15" hidden="false" customHeight="false" outlineLevel="0" collapsed="false">
      <c r="A243" s="2" t="s">
        <v>68</v>
      </c>
      <c r="B243" s="2" t="s">
        <v>9</v>
      </c>
      <c r="C243" s="3" t="n">
        <v>171990</v>
      </c>
      <c r="D243" s="3" t="n">
        <v>411980</v>
      </c>
      <c r="E243" s="4" t="n">
        <v>2395</v>
      </c>
      <c r="F243" s="2" t="s">
        <v>10</v>
      </c>
      <c r="G243" s="2" t="s">
        <v>11</v>
      </c>
      <c r="H243" s="2" t="s">
        <v>12</v>
      </c>
    </row>
    <row r="244" customFormat="false" ht="15" hidden="false" customHeight="false" outlineLevel="0" collapsed="false">
      <c r="A244" s="2" t="s">
        <v>68</v>
      </c>
      <c r="B244" s="2" t="s">
        <v>13</v>
      </c>
      <c r="C244" s="3" t="n">
        <v>175230</v>
      </c>
      <c r="D244" s="3" t="n">
        <v>386240</v>
      </c>
      <c r="E244" s="4" t="n">
        <v>2204</v>
      </c>
      <c r="F244" s="2" t="s">
        <v>14</v>
      </c>
      <c r="G244" s="2" t="s">
        <v>11</v>
      </c>
      <c r="H244" s="2" t="s">
        <v>15</v>
      </c>
    </row>
    <row r="245" customFormat="false" ht="15" hidden="false" customHeight="false" outlineLevel="0" collapsed="false">
      <c r="A245" s="2" t="s">
        <v>68</v>
      </c>
      <c r="B245" s="2" t="s">
        <v>16</v>
      </c>
      <c r="C245" s="3" t="n">
        <v>173210</v>
      </c>
      <c r="D245" s="3" t="n">
        <v>434100</v>
      </c>
      <c r="E245" s="4" t="n">
        <v>2506</v>
      </c>
      <c r="F245" s="2" t="s">
        <v>17</v>
      </c>
      <c r="G245" s="2" t="s">
        <v>18</v>
      </c>
      <c r="H245" s="2" t="s">
        <v>12</v>
      </c>
    </row>
    <row r="246" customFormat="false" ht="15" hidden="false" customHeight="false" outlineLevel="0" collapsed="false">
      <c r="A246" s="2" t="s">
        <v>68</v>
      </c>
      <c r="B246" s="2" t="s">
        <v>19</v>
      </c>
      <c r="C246" s="3" t="n">
        <v>178060</v>
      </c>
      <c r="D246" s="3" t="n">
        <v>445820</v>
      </c>
      <c r="E246" s="4" t="n">
        <v>2504</v>
      </c>
      <c r="F246" s="2" t="s">
        <v>20</v>
      </c>
      <c r="G246" s="2" t="s">
        <v>18</v>
      </c>
      <c r="H246" s="2" t="s">
        <v>15</v>
      </c>
    </row>
    <row r="247" customFormat="false" ht="15" hidden="false" customHeight="false" outlineLevel="0" collapsed="false">
      <c r="A247" s="2" t="s">
        <v>68</v>
      </c>
      <c r="B247" s="2" t="s">
        <v>21</v>
      </c>
      <c r="C247" s="3" t="n">
        <v>182110</v>
      </c>
      <c r="D247" s="3" t="n">
        <v>323490</v>
      </c>
      <c r="E247" s="4" t="n">
        <v>1776</v>
      </c>
      <c r="F247" s="2" t="s">
        <v>22</v>
      </c>
      <c r="G247" s="2" t="s">
        <v>23</v>
      </c>
      <c r="H247" s="2" t="s">
        <v>12</v>
      </c>
    </row>
    <row r="248" customFormat="false" ht="15" hidden="false" customHeight="false" outlineLevel="0" collapsed="false">
      <c r="A248" s="2" t="s">
        <v>68</v>
      </c>
      <c r="B248" s="2" t="s">
        <v>24</v>
      </c>
      <c r="C248" s="3" t="n">
        <v>173610</v>
      </c>
      <c r="D248" s="3" t="n">
        <v>353630</v>
      </c>
      <c r="E248" s="5" t="n">
        <f aca="false">D248*1000/C248</f>
        <v>2036.92183629975</v>
      </c>
      <c r="F248" s="2" t="s">
        <v>25</v>
      </c>
      <c r="G248" s="2" t="s">
        <v>23</v>
      </c>
      <c r="H248" s="2" t="s">
        <v>26</v>
      </c>
    </row>
    <row r="249" customFormat="false" ht="15" hidden="false" customHeight="false" outlineLevel="0" collapsed="false">
      <c r="A249" s="2" t="s">
        <v>68</v>
      </c>
      <c r="B249" s="2" t="s">
        <v>27</v>
      </c>
      <c r="C249" s="3" t="n">
        <v>156210</v>
      </c>
      <c r="D249" s="3" t="n">
        <v>456170</v>
      </c>
      <c r="E249" s="4" t="n">
        <v>2920</v>
      </c>
      <c r="F249" s="2" t="s">
        <v>28</v>
      </c>
      <c r="G249" s="2" t="s">
        <v>29</v>
      </c>
      <c r="H249" s="2" t="s">
        <v>12</v>
      </c>
    </row>
    <row r="250" customFormat="false" ht="15" hidden="false" customHeight="false" outlineLevel="0" collapsed="false">
      <c r="A250" s="2" t="s">
        <v>68</v>
      </c>
      <c r="B250" s="2" t="s">
        <v>30</v>
      </c>
      <c r="C250" s="3" t="n">
        <v>156210</v>
      </c>
      <c r="D250" s="3" t="n">
        <v>361210</v>
      </c>
      <c r="E250" s="4" t="n">
        <v>2312</v>
      </c>
      <c r="F250" s="2" t="s">
        <v>31</v>
      </c>
      <c r="G250" s="2" t="s">
        <v>29</v>
      </c>
      <c r="H250" s="2" t="s">
        <v>15</v>
      </c>
    </row>
    <row r="251" customFormat="false" ht="15" hidden="false" customHeight="false" outlineLevel="0" collapsed="false">
      <c r="A251" s="2" t="s">
        <v>68</v>
      </c>
      <c r="B251" s="2" t="s">
        <v>32</v>
      </c>
      <c r="C251" s="3" t="n">
        <v>152560</v>
      </c>
      <c r="D251" s="3" t="n">
        <v>337090</v>
      </c>
      <c r="E251" s="4" t="n">
        <v>2210</v>
      </c>
      <c r="F251" s="2" t="s">
        <v>33</v>
      </c>
      <c r="G251" s="2" t="s">
        <v>34</v>
      </c>
      <c r="H251" s="2" t="s">
        <v>15</v>
      </c>
    </row>
    <row r="252" customFormat="false" ht="15" hidden="false" customHeight="false" outlineLevel="0" collapsed="false">
      <c r="A252" s="2" t="s">
        <v>68</v>
      </c>
      <c r="B252" s="2" t="s">
        <v>35</v>
      </c>
      <c r="C252" s="3" t="n">
        <v>211240</v>
      </c>
      <c r="D252" s="3" t="n">
        <v>581020</v>
      </c>
      <c r="E252" s="4" t="n">
        <v>2750</v>
      </c>
      <c r="F252" s="2" t="s">
        <v>36</v>
      </c>
      <c r="G252" s="2" t="s">
        <v>37</v>
      </c>
      <c r="H252" s="2" t="s">
        <v>12</v>
      </c>
    </row>
    <row r="253" customFormat="false" ht="15" hidden="false" customHeight="false" outlineLevel="0" collapsed="false">
      <c r="A253" s="2" t="s">
        <v>68</v>
      </c>
      <c r="B253" s="2" t="s">
        <v>39</v>
      </c>
      <c r="C253" s="3" t="n">
        <v>200320</v>
      </c>
      <c r="D253" s="3" t="n">
        <v>539960</v>
      </c>
      <c r="E253" s="4" t="n">
        <v>2695</v>
      </c>
      <c r="F253" s="2" t="s">
        <v>40</v>
      </c>
      <c r="G253" s="2" t="s">
        <v>37</v>
      </c>
      <c r="H253" s="2" t="s">
        <v>15</v>
      </c>
    </row>
    <row r="254" customFormat="false" ht="15" hidden="false" customHeight="false" outlineLevel="0" collapsed="false">
      <c r="A254" s="2" t="s">
        <v>68</v>
      </c>
      <c r="B254" s="2" t="s">
        <v>41</v>
      </c>
      <c r="C254" s="3" t="n">
        <v>190200</v>
      </c>
      <c r="D254" s="3" t="n">
        <v>588500</v>
      </c>
      <c r="E254" s="4" t="n">
        <v>3094</v>
      </c>
      <c r="F254" s="2" t="s">
        <v>42</v>
      </c>
      <c r="G254" s="2" t="s">
        <v>43</v>
      </c>
      <c r="H254" s="2" t="s">
        <v>15</v>
      </c>
    </row>
    <row r="255" customFormat="false" ht="15" hidden="false" customHeight="false" outlineLevel="0" collapsed="false">
      <c r="A255" s="2" t="s">
        <v>69</v>
      </c>
      <c r="B255" s="2" t="s">
        <v>9</v>
      </c>
      <c r="C255" s="3" t="n">
        <v>185340</v>
      </c>
      <c r="D255" s="3" t="n">
        <v>520870</v>
      </c>
      <c r="E255" s="4" t="n">
        <v>2810</v>
      </c>
      <c r="F255" s="2" t="s">
        <v>10</v>
      </c>
      <c r="G255" s="2" t="s">
        <v>11</v>
      </c>
      <c r="H255" s="2" t="s">
        <v>12</v>
      </c>
    </row>
    <row r="256" customFormat="false" ht="15" hidden="false" customHeight="false" outlineLevel="0" collapsed="false">
      <c r="A256" s="2" t="s">
        <v>69</v>
      </c>
      <c r="B256" s="2" t="s">
        <v>13</v>
      </c>
      <c r="C256" s="3" t="n">
        <v>167140</v>
      </c>
      <c r="D256" s="3" t="n">
        <v>434510</v>
      </c>
      <c r="E256" s="4" t="n">
        <v>2600</v>
      </c>
      <c r="F256" s="2" t="s">
        <v>14</v>
      </c>
      <c r="G256" s="2" t="s">
        <v>11</v>
      </c>
      <c r="H256" s="2" t="s">
        <v>15</v>
      </c>
    </row>
    <row r="257" customFormat="false" ht="15" hidden="false" customHeight="false" outlineLevel="0" collapsed="false">
      <c r="A257" s="2" t="s">
        <v>69</v>
      </c>
      <c r="B257" s="2" t="s">
        <v>16</v>
      </c>
      <c r="C257" s="3" t="n">
        <v>173200</v>
      </c>
      <c r="D257" s="3" t="n">
        <v>503460</v>
      </c>
      <c r="E257" s="4" t="n">
        <v>2907</v>
      </c>
      <c r="F257" s="2" t="s">
        <v>17</v>
      </c>
      <c r="G257" s="2" t="s">
        <v>18</v>
      </c>
      <c r="H257" s="2" t="s">
        <v>12</v>
      </c>
    </row>
    <row r="258" customFormat="false" ht="15" hidden="false" customHeight="false" outlineLevel="0" collapsed="false">
      <c r="A258" s="2" t="s">
        <v>69</v>
      </c>
      <c r="B258" s="2" t="s">
        <v>19</v>
      </c>
      <c r="C258" s="3" t="n">
        <v>184530</v>
      </c>
      <c r="D258" s="3" t="n">
        <v>544750</v>
      </c>
      <c r="E258" s="4" t="n">
        <v>2952</v>
      </c>
      <c r="F258" s="2" t="s">
        <v>20</v>
      </c>
      <c r="G258" s="2" t="s">
        <v>18</v>
      </c>
      <c r="H258" s="2" t="s">
        <v>15</v>
      </c>
    </row>
    <row r="259" customFormat="false" ht="15" hidden="false" customHeight="false" outlineLevel="0" collapsed="false">
      <c r="A259" s="2" t="s">
        <v>69</v>
      </c>
      <c r="B259" s="2" t="s">
        <v>21</v>
      </c>
      <c r="C259" s="3" t="n">
        <v>191000</v>
      </c>
      <c r="D259" s="3" t="n">
        <v>577220</v>
      </c>
      <c r="E259" s="4" t="n">
        <v>3022</v>
      </c>
      <c r="F259" s="2" t="s">
        <v>22</v>
      </c>
      <c r="G259" s="2" t="s">
        <v>23</v>
      </c>
      <c r="H259" s="2" t="s">
        <v>12</v>
      </c>
    </row>
    <row r="260" customFormat="false" ht="15" hidden="false" customHeight="false" outlineLevel="0" collapsed="false">
      <c r="A260" s="2" t="s">
        <v>69</v>
      </c>
      <c r="B260" s="2" t="s">
        <v>24</v>
      </c>
      <c r="C260" s="3" t="n">
        <v>186960</v>
      </c>
      <c r="D260" s="3" t="n">
        <v>566050</v>
      </c>
      <c r="E260" s="5" t="n">
        <f aca="false">D260*1000/C260</f>
        <v>3027.65297389816</v>
      </c>
      <c r="F260" s="2" t="s">
        <v>25</v>
      </c>
      <c r="G260" s="2" t="s">
        <v>23</v>
      </c>
      <c r="H260" s="2" t="s">
        <v>26</v>
      </c>
    </row>
    <row r="261" customFormat="false" ht="15" hidden="false" customHeight="false" outlineLevel="0" collapsed="false">
      <c r="A261" s="2" t="s">
        <v>69</v>
      </c>
      <c r="B261" s="2" t="s">
        <v>27</v>
      </c>
      <c r="C261" s="3" t="n">
        <v>189790</v>
      </c>
      <c r="D261" s="3" t="n">
        <v>615540</v>
      </c>
      <c r="E261" s="4" t="n">
        <v>3243</v>
      </c>
      <c r="F261" s="2" t="s">
        <v>28</v>
      </c>
      <c r="G261" s="2" t="s">
        <v>29</v>
      </c>
      <c r="H261" s="2" t="s">
        <v>12</v>
      </c>
    </row>
    <row r="262" customFormat="false" ht="15" hidden="false" customHeight="false" outlineLevel="0" collapsed="false">
      <c r="A262" s="2" t="s">
        <v>69</v>
      </c>
      <c r="B262" s="2" t="s">
        <v>30</v>
      </c>
      <c r="C262" s="3" t="n">
        <v>190610</v>
      </c>
      <c r="D262" s="3" t="n">
        <v>612310</v>
      </c>
      <c r="E262" s="4" t="n">
        <v>3212</v>
      </c>
      <c r="F262" s="2" t="s">
        <v>31</v>
      </c>
      <c r="G262" s="2" t="s">
        <v>29</v>
      </c>
      <c r="H262" s="2" t="s">
        <v>15</v>
      </c>
    </row>
    <row r="263" customFormat="false" ht="15" hidden="false" customHeight="false" outlineLevel="0" collapsed="false">
      <c r="A263" s="2" t="s">
        <v>69</v>
      </c>
      <c r="B263" s="2" t="s">
        <v>32</v>
      </c>
      <c r="C263" s="3" t="n">
        <v>186560</v>
      </c>
      <c r="D263" s="3" t="n">
        <v>581930</v>
      </c>
      <c r="E263" s="4" t="n">
        <v>3119</v>
      </c>
      <c r="F263" s="2" t="s">
        <v>33</v>
      </c>
      <c r="G263" s="2" t="s">
        <v>34</v>
      </c>
      <c r="H263" s="2" t="s">
        <v>15</v>
      </c>
    </row>
    <row r="264" customFormat="false" ht="15" hidden="false" customHeight="false" outlineLevel="0" collapsed="false">
      <c r="A264" s="2" t="s">
        <v>69</v>
      </c>
      <c r="B264" s="2" t="s">
        <v>35</v>
      </c>
      <c r="C264" s="3" t="n">
        <v>166730</v>
      </c>
      <c r="D264" s="3" t="n">
        <v>568560</v>
      </c>
      <c r="E264" s="4" t="n">
        <v>3410</v>
      </c>
      <c r="F264" s="2" t="s">
        <v>36</v>
      </c>
      <c r="G264" s="2" t="s">
        <v>37</v>
      </c>
      <c r="H264" s="2" t="s">
        <v>12</v>
      </c>
    </row>
    <row r="265" customFormat="false" ht="15" hidden="false" customHeight="false" outlineLevel="0" collapsed="false">
      <c r="A265" s="2" t="s">
        <v>69</v>
      </c>
      <c r="B265" s="2" t="s">
        <v>39</v>
      </c>
      <c r="C265" s="3" t="n">
        <v>176840</v>
      </c>
      <c r="D265" s="3" t="n">
        <v>642040</v>
      </c>
      <c r="E265" s="4" t="n">
        <v>3631</v>
      </c>
      <c r="F265" s="2" t="s">
        <v>40</v>
      </c>
      <c r="G265" s="2" t="s">
        <v>37</v>
      </c>
      <c r="H265" s="2" t="s">
        <v>15</v>
      </c>
    </row>
    <row r="266" customFormat="false" ht="15" hidden="false" customHeight="false" outlineLevel="0" collapsed="false">
      <c r="A266" s="2" t="s">
        <v>69</v>
      </c>
      <c r="B266" s="2" t="s">
        <v>41</v>
      </c>
      <c r="C266" s="3" t="n">
        <v>173200</v>
      </c>
      <c r="D266" s="3" t="n">
        <v>641500</v>
      </c>
      <c r="E266" s="4" t="n">
        <v>3704</v>
      </c>
      <c r="F266" s="2" t="s">
        <v>42</v>
      </c>
      <c r="G266" s="2" t="s">
        <v>43</v>
      </c>
      <c r="H266" s="2" t="s">
        <v>15</v>
      </c>
    </row>
    <row r="267" customFormat="false" ht="15" hidden="false" customHeight="false" outlineLevel="0" collapsed="false">
      <c r="A267" s="2" t="s">
        <v>70</v>
      </c>
      <c r="B267" s="2" t="s">
        <v>41</v>
      </c>
      <c r="C267" s="3" t="n">
        <v>5700</v>
      </c>
      <c r="D267" s="3" t="n">
        <v>8500</v>
      </c>
      <c r="E267" s="4" t="n">
        <v>1494</v>
      </c>
      <c r="F267" s="2" t="s">
        <v>42</v>
      </c>
      <c r="G267" s="2" t="s">
        <v>43</v>
      </c>
      <c r="H267" s="2" t="s">
        <v>62</v>
      </c>
    </row>
    <row r="268" customFormat="false" ht="15" hidden="false" customHeight="false" outlineLevel="0" collapsed="false">
      <c r="A268" s="2" t="s">
        <v>71</v>
      </c>
      <c r="B268" s="2" t="s">
        <v>9</v>
      </c>
      <c r="C268" s="3" t="n">
        <v>308370</v>
      </c>
      <c r="D268" s="3" t="n">
        <v>891530</v>
      </c>
      <c r="E268" s="4" t="n">
        <v>2891</v>
      </c>
      <c r="F268" s="2" t="s">
        <v>10</v>
      </c>
      <c r="G268" s="2" t="s">
        <v>11</v>
      </c>
      <c r="H268" s="2" t="s">
        <v>12</v>
      </c>
    </row>
    <row r="269" customFormat="false" ht="15" hidden="false" customHeight="false" outlineLevel="0" collapsed="false">
      <c r="A269" s="2" t="s">
        <v>71</v>
      </c>
      <c r="B269" s="2" t="s">
        <v>13</v>
      </c>
      <c r="C269" s="3" t="n">
        <v>299050</v>
      </c>
      <c r="D269" s="3" t="n">
        <v>823180</v>
      </c>
      <c r="E269" s="4" t="n">
        <v>2752</v>
      </c>
      <c r="F269" s="2" t="s">
        <v>14</v>
      </c>
      <c r="G269" s="2" t="s">
        <v>11</v>
      </c>
      <c r="H269" s="2" t="s">
        <v>15</v>
      </c>
    </row>
    <row r="270" customFormat="false" ht="15" hidden="false" customHeight="false" outlineLevel="0" collapsed="false">
      <c r="A270" s="2" t="s">
        <v>71</v>
      </c>
      <c r="B270" s="2" t="s">
        <v>16</v>
      </c>
      <c r="C270" s="3" t="n">
        <v>291370</v>
      </c>
      <c r="D270" s="3" t="n">
        <v>816940</v>
      </c>
      <c r="E270" s="4" t="n">
        <v>2804</v>
      </c>
      <c r="F270" s="2" t="s">
        <v>17</v>
      </c>
      <c r="G270" s="2" t="s">
        <v>18</v>
      </c>
      <c r="H270" s="2" t="s">
        <v>12</v>
      </c>
    </row>
    <row r="271" customFormat="false" ht="15" hidden="false" customHeight="false" outlineLevel="0" collapsed="false">
      <c r="A271" s="2" t="s">
        <v>71</v>
      </c>
      <c r="B271" s="2" t="s">
        <v>19</v>
      </c>
      <c r="C271" s="3" t="n">
        <v>312410</v>
      </c>
      <c r="D271" s="3" t="n">
        <v>878710</v>
      </c>
      <c r="E271" s="4" t="n">
        <v>2813</v>
      </c>
      <c r="F271" s="2" t="s">
        <v>20</v>
      </c>
      <c r="G271" s="2" t="s">
        <v>18</v>
      </c>
      <c r="H271" s="2" t="s">
        <v>15</v>
      </c>
    </row>
    <row r="272" customFormat="false" ht="15" hidden="false" customHeight="false" outlineLevel="0" collapsed="false">
      <c r="A272" s="2" t="s">
        <v>71</v>
      </c>
      <c r="B272" s="2" t="s">
        <v>21</v>
      </c>
      <c r="C272" s="3" t="n">
        <v>313220</v>
      </c>
      <c r="D272" s="3" t="n">
        <v>874630</v>
      </c>
      <c r="E272" s="4" t="n">
        <v>2793</v>
      </c>
      <c r="F272" s="2" t="s">
        <v>22</v>
      </c>
      <c r="G272" s="2" t="s">
        <v>23</v>
      </c>
      <c r="H272" s="2" t="s">
        <v>12</v>
      </c>
    </row>
    <row r="273" customFormat="false" ht="15" hidden="false" customHeight="false" outlineLevel="0" collapsed="false">
      <c r="A273" s="2" t="s">
        <v>71</v>
      </c>
      <c r="B273" s="2" t="s">
        <v>24</v>
      </c>
      <c r="C273" s="3" t="n">
        <v>303910</v>
      </c>
      <c r="D273" s="3" t="n">
        <v>876210</v>
      </c>
      <c r="E273" s="5" t="n">
        <f aca="false">D273*1000/C273</f>
        <v>2883.12329308019</v>
      </c>
      <c r="F273" s="2" t="s">
        <v>25</v>
      </c>
      <c r="G273" s="2" t="s">
        <v>23</v>
      </c>
      <c r="H273" s="2" t="s">
        <v>26</v>
      </c>
    </row>
    <row r="274" customFormat="false" ht="15" hidden="false" customHeight="false" outlineLevel="0" collapsed="false">
      <c r="A274" s="2" t="s">
        <v>71</v>
      </c>
      <c r="B274" s="2" t="s">
        <v>27</v>
      </c>
      <c r="C274" s="3" t="n">
        <v>288540</v>
      </c>
      <c r="D274" s="3" t="n">
        <v>917650</v>
      </c>
      <c r="E274" s="4" t="n">
        <v>3180</v>
      </c>
      <c r="F274" s="2" t="s">
        <v>28</v>
      </c>
      <c r="G274" s="2" t="s">
        <v>29</v>
      </c>
      <c r="H274" s="2" t="s">
        <v>12</v>
      </c>
    </row>
    <row r="275" customFormat="false" ht="15" hidden="false" customHeight="false" outlineLevel="0" collapsed="false">
      <c r="A275" s="2" t="s">
        <v>71</v>
      </c>
      <c r="B275" s="2" t="s">
        <v>30</v>
      </c>
      <c r="C275" s="3" t="n">
        <v>287730</v>
      </c>
      <c r="D275" s="3" t="n">
        <v>905670</v>
      </c>
      <c r="E275" s="4" t="n">
        <v>3148</v>
      </c>
      <c r="F275" s="2" t="s">
        <v>31</v>
      </c>
      <c r="G275" s="2" t="s">
        <v>29</v>
      </c>
      <c r="H275" s="2" t="s">
        <v>15</v>
      </c>
    </row>
    <row r="276" customFormat="false" ht="15" hidden="false" customHeight="false" outlineLevel="0" collapsed="false">
      <c r="A276" s="2" t="s">
        <v>71</v>
      </c>
      <c r="B276" s="2" t="s">
        <v>32</v>
      </c>
      <c r="C276" s="3" t="n">
        <v>295820</v>
      </c>
      <c r="D276" s="3" t="n">
        <v>908910</v>
      </c>
      <c r="E276" s="4" t="n">
        <v>3072</v>
      </c>
      <c r="F276" s="2" t="s">
        <v>33</v>
      </c>
      <c r="G276" s="2" t="s">
        <v>34</v>
      </c>
      <c r="H276" s="2" t="s">
        <v>15</v>
      </c>
    </row>
    <row r="277" customFormat="false" ht="15" hidden="false" customHeight="false" outlineLevel="0" collapsed="false">
      <c r="A277" s="2" t="s">
        <v>71</v>
      </c>
      <c r="B277" s="2" t="s">
        <v>35</v>
      </c>
      <c r="C277" s="3" t="n">
        <v>257380</v>
      </c>
      <c r="D277" s="3" t="n">
        <v>811790</v>
      </c>
      <c r="E277" s="4" t="n">
        <v>3154</v>
      </c>
      <c r="F277" s="2" t="s">
        <v>36</v>
      </c>
      <c r="G277" s="2" t="s">
        <v>37</v>
      </c>
      <c r="H277" s="2" t="s">
        <v>12</v>
      </c>
    </row>
    <row r="278" customFormat="false" ht="15" hidden="false" customHeight="false" outlineLevel="0" collapsed="false">
      <c r="A278" s="2" t="s">
        <v>71</v>
      </c>
      <c r="B278" s="2" t="s">
        <v>39</v>
      </c>
      <c r="C278" s="3" t="n">
        <v>242400</v>
      </c>
      <c r="D278" s="3" t="n">
        <v>736050</v>
      </c>
      <c r="E278" s="4" t="n">
        <v>3036</v>
      </c>
      <c r="F278" s="2" t="s">
        <v>40</v>
      </c>
      <c r="G278" s="2" t="s">
        <v>37</v>
      </c>
      <c r="H278" s="2" t="s">
        <v>15</v>
      </c>
    </row>
    <row r="279" customFormat="false" ht="15" hidden="false" customHeight="false" outlineLevel="0" collapsed="false">
      <c r="A279" s="2" t="s">
        <v>72</v>
      </c>
      <c r="B279" s="2" t="s">
        <v>41</v>
      </c>
      <c r="C279" s="3" t="n">
        <v>141200</v>
      </c>
      <c r="D279" s="3" t="n">
        <v>461000</v>
      </c>
      <c r="E279" s="4" t="n">
        <v>3264</v>
      </c>
      <c r="F279" s="2" t="s">
        <v>42</v>
      </c>
      <c r="G279" s="2" t="s">
        <v>43</v>
      </c>
      <c r="H279" s="2" t="s">
        <v>73</v>
      </c>
    </row>
    <row r="280" customFormat="false" ht="15" hidden="false" customHeight="false" outlineLevel="0" collapsed="false">
      <c r="A280" s="2" t="s">
        <v>74</v>
      </c>
      <c r="B280" s="2" t="s">
        <v>9</v>
      </c>
      <c r="C280" s="3" t="n">
        <v>113710</v>
      </c>
      <c r="D280" s="3" t="n">
        <v>340870</v>
      </c>
      <c r="E280" s="4" t="n">
        <v>2998</v>
      </c>
      <c r="F280" s="2" t="s">
        <v>10</v>
      </c>
      <c r="G280" s="2" t="s">
        <v>11</v>
      </c>
      <c r="H280" s="2" t="s">
        <v>12</v>
      </c>
    </row>
    <row r="281" customFormat="false" ht="15" hidden="false" customHeight="false" outlineLevel="0" collapsed="false">
      <c r="A281" s="2" t="s">
        <v>74</v>
      </c>
      <c r="B281" s="2" t="s">
        <v>13</v>
      </c>
      <c r="C281" s="3" t="n">
        <v>112500</v>
      </c>
      <c r="D281" s="3" t="n">
        <v>351550</v>
      </c>
      <c r="E281" s="4" t="n">
        <v>3125</v>
      </c>
      <c r="F281" s="2" t="s">
        <v>14</v>
      </c>
      <c r="G281" s="2" t="s">
        <v>11</v>
      </c>
      <c r="H281" s="2" t="s">
        <v>15</v>
      </c>
    </row>
    <row r="282" customFormat="false" ht="15" hidden="false" customHeight="false" outlineLevel="0" collapsed="false">
      <c r="A282" s="2" t="s">
        <v>74</v>
      </c>
      <c r="B282" s="2" t="s">
        <v>16</v>
      </c>
      <c r="C282" s="3" t="n">
        <v>118570</v>
      </c>
      <c r="D282" s="3" t="n">
        <v>367670</v>
      </c>
      <c r="E282" s="4" t="n">
        <v>3101</v>
      </c>
      <c r="F282" s="2" t="s">
        <v>17</v>
      </c>
      <c r="G282" s="2" t="s">
        <v>18</v>
      </c>
      <c r="H282" s="2" t="s">
        <v>12</v>
      </c>
    </row>
    <row r="283" customFormat="false" ht="15" hidden="false" customHeight="false" outlineLevel="0" collapsed="false">
      <c r="A283" s="2" t="s">
        <v>74</v>
      </c>
      <c r="B283" s="2" t="s">
        <v>19</v>
      </c>
      <c r="C283" s="3" t="n">
        <v>124640</v>
      </c>
      <c r="D283" s="3" t="n">
        <v>387300</v>
      </c>
      <c r="E283" s="4" t="n">
        <v>3107</v>
      </c>
      <c r="F283" s="2" t="s">
        <v>20</v>
      </c>
      <c r="G283" s="2" t="s">
        <v>18</v>
      </c>
      <c r="H283" s="2" t="s">
        <v>15</v>
      </c>
    </row>
    <row r="284" customFormat="false" ht="15" hidden="false" customHeight="false" outlineLevel="0" collapsed="false">
      <c r="A284" s="2" t="s">
        <v>74</v>
      </c>
      <c r="B284" s="2" t="s">
        <v>21</v>
      </c>
      <c r="C284" s="3" t="n">
        <v>126260</v>
      </c>
      <c r="D284" s="3" t="n">
        <v>420280</v>
      </c>
      <c r="E284" s="4" t="n">
        <v>3329</v>
      </c>
      <c r="F284" s="2" t="s">
        <v>22</v>
      </c>
      <c r="G284" s="2" t="s">
        <v>23</v>
      </c>
      <c r="H284" s="2" t="s">
        <v>12</v>
      </c>
    </row>
    <row r="285" customFormat="false" ht="15" hidden="false" customHeight="false" outlineLevel="0" collapsed="false">
      <c r="A285" s="2" t="s">
        <v>74</v>
      </c>
      <c r="B285" s="2" t="s">
        <v>24</v>
      </c>
      <c r="C285" s="3" t="n">
        <v>124240</v>
      </c>
      <c r="D285" s="3" t="n">
        <v>400940</v>
      </c>
      <c r="E285" s="4" t="n">
        <v>3227</v>
      </c>
      <c r="F285" s="2" t="s">
        <v>25</v>
      </c>
      <c r="G285" s="2" t="s">
        <v>23</v>
      </c>
      <c r="H285" s="2" t="s">
        <v>15</v>
      </c>
    </row>
    <row r="286" customFormat="false" ht="15" hidden="false" customHeight="false" outlineLevel="0" collapsed="false">
      <c r="A286" s="2" t="s">
        <v>74</v>
      </c>
      <c r="B286" s="2" t="s">
        <v>27</v>
      </c>
      <c r="C286" s="3" t="n">
        <v>121810</v>
      </c>
      <c r="D286" s="3" t="n">
        <v>422420</v>
      </c>
      <c r="E286" s="4" t="n">
        <v>3468</v>
      </c>
      <c r="F286" s="2" t="s">
        <v>28</v>
      </c>
      <c r="G286" s="2" t="s">
        <v>29</v>
      </c>
      <c r="H286" s="2" t="s">
        <v>12</v>
      </c>
    </row>
    <row r="287" customFormat="false" ht="15" hidden="false" customHeight="false" outlineLevel="0" collapsed="false">
      <c r="A287" s="2" t="s">
        <v>74</v>
      </c>
      <c r="B287" s="2" t="s">
        <v>30</v>
      </c>
      <c r="C287" s="3" t="n">
        <v>120590</v>
      </c>
      <c r="D287" s="3" t="n">
        <v>391520</v>
      </c>
      <c r="E287" s="4" t="n">
        <v>3247</v>
      </c>
      <c r="F287" s="2" t="s">
        <v>31</v>
      </c>
      <c r="G287" s="2" t="s">
        <v>29</v>
      </c>
      <c r="H287" s="2" t="s">
        <v>15</v>
      </c>
    </row>
    <row r="288" customFormat="false" ht="15" hidden="false" customHeight="false" outlineLevel="0" collapsed="false">
      <c r="A288" s="2" t="s">
        <v>74</v>
      </c>
      <c r="B288" s="2" t="s">
        <v>32</v>
      </c>
      <c r="C288" s="3" t="n">
        <v>119380</v>
      </c>
      <c r="D288" s="3" t="n">
        <v>380530</v>
      </c>
      <c r="E288" s="4" t="n">
        <v>3188</v>
      </c>
      <c r="F288" s="2" t="s">
        <v>33</v>
      </c>
      <c r="G288" s="2" t="s">
        <v>34</v>
      </c>
      <c r="H288" s="2" t="s">
        <v>15</v>
      </c>
    </row>
    <row r="289" customFormat="false" ht="15" hidden="false" customHeight="false" outlineLevel="0" collapsed="false">
      <c r="A289" s="2" t="s">
        <v>74</v>
      </c>
      <c r="B289" s="2" t="s">
        <v>35</v>
      </c>
      <c r="C289" s="3" t="n">
        <v>130310</v>
      </c>
      <c r="D289" s="3" t="n">
        <v>486350</v>
      </c>
      <c r="E289" s="4" t="n">
        <v>3732</v>
      </c>
      <c r="F289" s="2" t="s">
        <v>36</v>
      </c>
      <c r="G289" s="2" t="s">
        <v>37</v>
      </c>
      <c r="H289" s="2" t="s">
        <v>12</v>
      </c>
    </row>
    <row r="290" customFormat="false" ht="15" hidden="false" customHeight="false" outlineLevel="0" collapsed="false">
      <c r="A290" s="2" t="s">
        <v>74</v>
      </c>
      <c r="B290" s="2" t="s">
        <v>39</v>
      </c>
      <c r="C290" s="3" t="n">
        <v>125450</v>
      </c>
      <c r="D290" s="3" t="n">
        <v>427180</v>
      </c>
      <c r="E290" s="4" t="n">
        <v>3405</v>
      </c>
      <c r="F290" s="2" t="s">
        <v>40</v>
      </c>
      <c r="G290" s="2" t="s">
        <v>37</v>
      </c>
      <c r="H290" s="2" t="s">
        <v>15</v>
      </c>
    </row>
    <row r="291" customFormat="false" ht="15" hidden="false" customHeight="false" outlineLevel="0" collapsed="false">
      <c r="A291" s="2" t="s">
        <v>74</v>
      </c>
      <c r="B291" s="2" t="s">
        <v>41</v>
      </c>
      <c r="C291" s="3" t="n">
        <v>128700</v>
      </c>
      <c r="D291" s="3" t="n">
        <v>456000</v>
      </c>
      <c r="E291" s="4" t="n">
        <v>3544</v>
      </c>
      <c r="F291" s="2" t="s">
        <v>42</v>
      </c>
      <c r="G291" s="2" t="s">
        <v>43</v>
      </c>
      <c r="H291" s="2" t="s">
        <v>15</v>
      </c>
    </row>
    <row r="292" customFormat="false" ht="15" hidden="false" customHeight="false" outlineLevel="0" collapsed="false">
      <c r="A292" s="2" t="s">
        <v>75</v>
      </c>
      <c r="B292" s="2" t="s">
        <v>9</v>
      </c>
      <c r="C292" s="3" t="n">
        <v>162680</v>
      </c>
      <c r="D292" s="3" t="n">
        <v>381760</v>
      </c>
      <c r="E292" s="4" t="n">
        <v>2346</v>
      </c>
      <c r="F292" s="2" t="s">
        <v>10</v>
      </c>
      <c r="G292" s="2" t="s">
        <v>11</v>
      </c>
      <c r="H292" s="2" t="s">
        <v>12</v>
      </c>
    </row>
    <row r="293" customFormat="false" ht="15" hidden="false" customHeight="false" outlineLevel="0" collapsed="false">
      <c r="A293" s="2" t="s">
        <v>75</v>
      </c>
      <c r="B293" s="2" t="s">
        <v>13</v>
      </c>
      <c r="C293" s="3" t="n">
        <v>168750</v>
      </c>
      <c r="D293" s="3" t="n">
        <v>372870</v>
      </c>
      <c r="E293" s="4" t="n">
        <v>2210</v>
      </c>
      <c r="F293" s="2" t="s">
        <v>14</v>
      </c>
      <c r="G293" s="2" t="s">
        <v>11</v>
      </c>
      <c r="H293" s="2" t="s">
        <v>15</v>
      </c>
    </row>
    <row r="294" customFormat="false" ht="15" hidden="false" customHeight="false" outlineLevel="0" collapsed="false">
      <c r="A294" s="2" t="s">
        <v>75</v>
      </c>
      <c r="B294" s="2" t="s">
        <v>16</v>
      </c>
      <c r="C294" s="3" t="n">
        <v>163090</v>
      </c>
      <c r="D294" s="3" t="n">
        <v>396840</v>
      </c>
      <c r="E294" s="4" t="n">
        <v>2433</v>
      </c>
      <c r="F294" s="2" t="s">
        <v>17</v>
      </c>
      <c r="G294" s="2" t="s">
        <v>18</v>
      </c>
      <c r="H294" s="2" t="s">
        <v>12</v>
      </c>
    </row>
    <row r="295" customFormat="false" ht="15" hidden="false" customHeight="false" outlineLevel="0" collapsed="false">
      <c r="A295" s="2" t="s">
        <v>75</v>
      </c>
      <c r="B295" s="2" t="s">
        <v>19</v>
      </c>
      <c r="C295" s="3" t="n">
        <v>163890</v>
      </c>
      <c r="D295" s="3" t="n">
        <v>405340</v>
      </c>
      <c r="E295" s="4" t="n">
        <v>2473</v>
      </c>
      <c r="F295" s="2" t="s">
        <v>20</v>
      </c>
      <c r="G295" s="2" t="s">
        <v>18</v>
      </c>
      <c r="H295" s="2" t="s">
        <v>15</v>
      </c>
    </row>
    <row r="296" customFormat="false" ht="15" hidden="false" customHeight="false" outlineLevel="0" collapsed="false">
      <c r="A296" s="2" t="s">
        <v>75</v>
      </c>
      <c r="B296" s="2" t="s">
        <v>21</v>
      </c>
      <c r="C296" s="3" t="n">
        <v>163490</v>
      </c>
      <c r="D296" s="3" t="n">
        <v>287920</v>
      </c>
      <c r="E296" s="4" t="n">
        <v>1761</v>
      </c>
      <c r="F296" s="2" t="s">
        <v>22</v>
      </c>
      <c r="G296" s="2" t="s">
        <v>23</v>
      </c>
      <c r="H296" s="2" t="s">
        <v>12</v>
      </c>
    </row>
    <row r="297" customFormat="false" ht="15" hidden="false" customHeight="false" outlineLevel="0" collapsed="false">
      <c r="A297" s="2" t="s">
        <v>75</v>
      </c>
      <c r="B297" s="2" t="s">
        <v>24</v>
      </c>
      <c r="C297" s="3" t="n">
        <v>147300</v>
      </c>
      <c r="D297" s="3" t="n">
        <v>306980</v>
      </c>
      <c r="E297" s="5" t="n">
        <f aca="false">D297*1000/C297</f>
        <v>2084.04616429056</v>
      </c>
      <c r="F297" s="2" t="s">
        <v>25</v>
      </c>
      <c r="G297" s="2" t="s">
        <v>23</v>
      </c>
      <c r="H297" s="2" t="s">
        <v>26</v>
      </c>
    </row>
    <row r="298" customFormat="false" ht="15" hidden="false" customHeight="false" outlineLevel="0" collapsed="false">
      <c r="A298" s="2" t="s">
        <v>75</v>
      </c>
      <c r="B298" s="2" t="s">
        <v>27</v>
      </c>
      <c r="C298" s="3" t="n">
        <v>145690</v>
      </c>
      <c r="D298" s="3" t="n">
        <v>356560</v>
      </c>
      <c r="E298" s="4" t="n">
        <v>2448</v>
      </c>
      <c r="F298" s="2" t="s">
        <v>28</v>
      </c>
      <c r="G298" s="2" t="s">
        <v>29</v>
      </c>
      <c r="H298" s="2" t="s">
        <v>12</v>
      </c>
    </row>
    <row r="299" customFormat="false" ht="15" hidden="false" customHeight="false" outlineLevel="0" collapsed="false">
      <c r="A299" s="2" t="s">
        <v>75</v>
      </c>
      <c r="B299" s="2" t="s">
        <v>30</v>
      </c>
      <c r="C299" s="3" t="n">
        <v>146490</v>
      </c>
      <c r="D299" s="3" t="n">
        <v>383320</v>
      </c>
      <c r="E299" s="4" t="n">
        <v>2617</v>
      </c>
      <c r="F299" s="2" t="s">
        <v>31</v>
      </c>
      <c r="G299" s="2" t="s">
        <v>29</v>
      </c>
      <c r="H299" s="2" t="s">
        <v>15</v>
      </c>
    </row>
    <row r="300" customFormat="false" ht="15" hidden="false" customHeight="false" outlineLevel="0" collapsed="false">
      <c r="A300" s="2" t="s">
        <v>75</v>
      </c>
      <c r="B300" s="2" t="s">
        <v>32</v>
      </c>
      <c r="C300" s="3" t="n">
        <v>144070</v>
      </c>
      <c r="D300" s="3" t="n">
        <v>314120</v>
      </c>
      <c r="E300" s="4" t="n">
        <v>2180</v>
      </c>
      <c r="F300" s="2" t="s">
        <v>33</v>
      </c>
      <c r="G300" s="2" t="s">
        <v>34</v>
      </c>
      <c r="H300" s="2" t="s">
        <v>15</v>
      </c>
    </row>
    <row r="301" customFormat="false" ht="15" hidden="false" customHeight="false" outlineLevel="0" collapsed="false">
      <c r="A301" s="2" t="s">
        <v>75</v>
      </c>
      <c r="B301" s="2" t="s">
        <v>35</v>
      </c>
      <c r="C301" s="3" t="n">
        <v>114120</v>
      </c>
      <c r="D301" s="3" t="n">
        <v>301080</v>
      </c>
      <c r="E301" s="4" t="n">
        <v>2638</v>
      </c>
      <c r="F301" s="2" t="s">
        <v>36</v>
      </c>
      <c r="G301" s="2" t="s">
        <v>37</v>
      </c>
      <c r="H301" s="2" t="s">
        <v>12</v>
      </c>
    </row>
    <row r="302" customFormat="false" ht="15" hidden="false" customHeight="false" outlineLevel="0" collapsed="false">
      <c r="A302" s="2" t="s">
        <v>75</v>
      </c>
      <c r="B302" s="2" t="s">
        <v>39</v>
      </c>
      <c r="C302" s="3" t="n">
        <v>123430</v>
      </c>
      <c r="D302" s="3" t="n">
        <v>279720</v>
      </c>
      <c r="E302" s="4" t="n">
        <v>2266</v>
      </c>
      <c r="F302" s="2" t="s">
        <v>40</v>
      </c>
      <c r="G302" s="2" t="s">
        <v>37</v>
      </c>
      <c r="H302" s="2" t="s">
        <v>15</v>
      </c>
    </row>
    <row r="303" customFormat="false" ht="15" hidden="false" customHeight="false" outlineLevel="0" collapsed="false">
      <c r="A303" s="2" t="s">
        <v>75</v>
      </c>
      <c r="B303" s="2" t="s">
        <v>41</v>
      </c>
      <c r="C303" s="3" t="n">
        <v>126300</v>
      </c>
      <c r="D303" s="3" t="n">
        <v>364800</v>
      </c>
      <c r="E303" s="4" t="n">
        <v>2889</v>
      </c>
      <c r="F303" s="2" t="s">
        <v>42</v>
      </c>
      <c r="G303" s="2" t="s">
        <v>43</v>
      </c>
      <c r="H303" s="2" t="s">
        <v>15</v>
      </c>
    </row>
    <row r="304" customFormat="false" ht="15" hidden="false" customHeight="false" outlineLevel="0" collapsed="false">
      <c r="A304" s="2" t="s">
        <v>76</v>
      </c>
      <c r="B304" s="2" t="s">
        <v>9</v>
      </c>
      <c r="C304" s="3" t="n">
        <v>218520</v>
      </c>
      <c r="D304" s="3" t="n">
        <v>782740</v>
      </c>
      <c r="E304" s="4" t="n">
        <v>3582</v>
      </c>
      <c r="F304" s="2" t="s">
        <v>10</v>
      </c>
      <c r="G304" s="2" t="s">
        <v>11</v>
      </c>
      <c r="H304" s="2" t="s">
        <v>12</v>
      </c>
    </row>
    <row r="305" customFormat="false" ht="15" hidden="false" customHeight="false" outlineLevel="0" collapsed="false">
      <c r="A305" s="2" t="s">
        <v>76</v>
      </c>
      <c r="B305" s="2" t="s">
        <v>13</v>
      </c>
      <c r="C305" s="3" t="n">
        <v>204760</v>
      </c>
      <c r="D305" s="3" t="n">
        <v>726610</v>
      </c>
      <c r="E305" s="4" t="n">
        <v>3548</v>
      </c>
      <c r="F305" s="2" t="s">
        <v>14</v>
      </c>
      <c r="G305" s="2" t="s">
        <v>11</v>
      </c>
      <c r="H305" s="2" t="s">
        <v>15</v>
      </c>
    </row>
    <row r="306" customFormat="false" ht="15" hidden="false" customHeight="false" outlineLevel="0" collapsed="false">
      <c r="A306" s="2" t="s">
        <v>76</v>
      </c>
      <c r="B306" s="2" t="s">
        <v>16</v>
      </c>
      <c r="C306" s="3" t="n">
        <v>214480</v>
      </c>
      <c r="D306" s="3" t="n">
        <v>765560</v>
      </c>
      <c r="E306" s="4" t="n">
        <v>3569</v>
      </c>
      <c r="F306" s="2" t="s">
        <v>17</v>
      </c>
      <c r="G306" s="2" t="s">
        <v>18</v>
      </c>
      <c r="H306" s="2" t="s">
        <v>12</v>
      </c>
    </row>
    <row r="307" customFormat="false" ht="15" hidden="false" customHeight="false" outlineLevel="0" collapsed="false">
      <c r="A307" s="2" t="s">
        <v>76</v>
      </c>
      <c r="B307" s="2" t="s">
        <v>19</v>
      </c>
      <c r="C307" s="3" t="n">
        <v>227020</v>
      </c>
      <c r="D307" s="3" t="n">
        <v>814530</v>
      </c>
      <c r="E307" s="4" t="n">
        <v>3588</v>
      </c>
      <c r="F307" s="2" t="s">
        <v>20</v>
      </c>
      <c r="G307" s="2" t="s">
        <v>18</v>
      </c>
      <c r="H307" s="2" t="s">
        <v>15</v>
      </c>
    </row>
    <row r="308" customFormat="false" ht="15" hidden="false" customHeight="false" outlineLevel="0" collapsed="false">
      <c r="A308" s="2" t="s">
        <v>76</v>
      </c>
      <c r="B308" s="2" t="s">
        <v>21</v>
      </c>
      <c r="C308" s="3" t="n">
        <v>205170</v>
      </c>
      <c r="D308" s="3" t="n">
        <v>711340</v>
      </c>
      <c r="E308" s="4" t="n">
        <v>3467</v>
      </c>
      <c r="F308" s="2" t="s">
        <v>22</v>
      </c>
      <c r="G308" s="2" t="s">
        <v>23</v>
      </c>
      <c r="H308" s="2" t="s">
        <v>12</v>
      </c>
    </row>
    <row r="309" customFormat="false" ht="15" hidden="false" customHeight="false" outlineLevel="0" collapsed="false">
      <c r="A309" s="2" t="s">
        <v>76</v>
      </c>
      <c r="B309" s="2" t="s">
        <v>24</v>
      </c>
      <c r="C309" s="3" t="n">
        <v>204770</v>
      </c>
      <c r="D309" s="3" t="n">
        <v>651010</v>
      </c>
      <c r="E309" s="4" t="n">
        <v>3179</v>
      </c>
      <c r="F309" s="2" t="s">
        <v>25</v>
      </c>
      <c r="G309" s="2" t="s">
        <v>23</v>
      </c>
      <c r="H309" s="2" t="s">
        <v>15</v>
      </c>
    </row>
    <row r="310" customFormat="false" ht="15" hidden="false" customHeight="false" outlineLevel="0" collapsed="false">
      <c r="A310" s="2" t="s">
        <v>76</v>
      </c>
      <c r="B310" s="2" t="s">
        <v>27</v>
      </c>
      <c r="C310" s="3" t="n">
        <v>206790</v>
      </c>
      <c r="D310" s="3" t="n">
        <v>707600</v>
      </c>
      <c r="E310" s="4" t="n">
        <v>3422</v>
      </c>
      <c r="F310" s="2" t="s">
        <v>28</v>
      </c>
      <c r="G310" s="2" t="s">
        <v>29</v>
      </c>
      <c r="H310" s="2" t="s">
        <v>12</v>
      </c>
    </row>
    <row r="311" customFormat="false" ht="15" hidden="false" customHeight="false" outlineLevel="0" collapsed="false">
      <c r="A311" s="2" t="s">
        <v>76</v>
      </c>
      <c r="B311" s="2" t="s">
        <v>30</v>
      </c>
      <c r="C311" s="3" t="n">
        <v>201930</v>
      </c>
      <c r="D311" s="3" t="n">
        <v>642930</v>
      </c>
      <c r="E311" s="4" t="n">
        <v>3184</v>
      </c>
      <c r="F311" s="2" t="s">
        <v>31</v>
      </c>
      <c r="G311" s="2" t="s">
        <v>29</v>
      </c>
      <c r="H311" s="2" t="s">
        <v>15</v>
      </c>
    </row>
    <row r="312" customFormat="false" ht="15" hidden="false" customHeight="false" outlineLevel="0" collapsed="false">
      <c r="A312" s="2" t="s">
        <v>76</v>
      </c>
      <c r="B312" s="2" t="s">
        <v>32</v>
      </c>
      <c r="C312" s="3" t="n">
        <v>181700</v>
      </c>
      <c r="D312" s="3" t="n">
        <v>598620</v>
      </c>
      <c r="E312" s="4" t="n">
        <v>3295</v>
      </c>
      <c r="F312" s="2" t="s">
        <v>33</v>
      </c>
      <c r="G312" s="2" t="s">
        <v>34</v>
      </c>
      <c r="H312" s="2" t="s">
        <v>15</v>
      </c>
    </row>
    <row r="313" customFormat="false" ht="15" hidden="false" customHeight="false" outlineLevel="0" collapsed="false">
      <c r="A313" s="2" t="s">
        <v>76</v>
      </c>
      <c r="B313" s="2" t="s">
        <v>35</v>
      </c>
      <c r="C313" s="3" t="n">
        <v>151750</v>
      </c>
      <c r="D313" s="3" t="n">
        <v>571500</v>
      </c>
      <c r="E313" s="4" t="n">
        <v>3766</v>
      </c>
      <c r="F313" s="2" t="s">
        <v>36</v>
      </c>
      <c r="G313" s="2" t="s">
        <v>37</v>
      </c>
      <c r="H313" s="2" t="s">
        <v>12</v>
      </c>
    </row>
    <row r="314" customFormat="false" ht="15" hidden="false" customHeight="false" outlineLevel="0" collapsed="false">
      <c r="A314" s="2" t="s">
        <v>76</v>
      </c>
      <c r="B314" s="2" t="s">
        <v>39</v>
      </c>
      <c r="C314" s="3" t="n">
        <v>133140</v>
      </c>
      <c r="D314" s="3" t="n">
        <v>502580</v>
      </c>
      <c r="E314" s="4" t="n">
        <v>3775</v>
      </c>
      <c r="F314" s="2" t="s">
        <v>40</v>
      </c>
      <c r="G314" s="2" t="s">
        <v>37</v>
      </c>
      <c r="H314" s="2" t="s">
        <v>15</v>
      </c>
    </row>
    <row r="315" customFormat="false" ht="15" hidden="false" customHeight="false" outlineLevel="0" collapsed="false">
      <c r="A315" s="2" t="s">
        <v>76</v>
      </c>
      <c r="B315" s="2" t="s">
        <v>41</v>
      </c>
      <c r="C315" s="3" t="n">
        <v>129100</v>
      </c>
      <c r="D315" s="3" t="n">
        <v>506400</v>
      </c>
      <c r="E315" s="4" t="n">
        <v>3923</v>
      </c>
      <c r="F315" s="2" t="s">
        <v>42</v>
      </c>
      <c r="G315" s="2" t="s">
        <v>43</v>
      </c>
      <c r="H315" s="2" t="s">
        <v>15</v>
      </c>
    </row>
    <row r="316" customFormat="false" ht="15" hidden="false" customHeight="false" outlineLevel="0" collapsed="false">
      <c r="A316" s="2" t="s">
        <v>77</v>
      </c>
      <c r="B316" s="2" t="s">
        <v>9</v>
      </c>
      <c r="C316" s="3" t="n">
        <v>147300</v>
      </c>
      <c r="D316" s="3" t="n">
        <v>555270</v>
      </c>
      <c r="E316" s="4" t="n">
        <v>3770</v>
      </c>
      <c r="F316" s="2" t="s">
        <v>10</v>
      </c>
      <c r="G316" s="2" t="s">
        <v>11</v>
      </c>
      <c r="H316" s="2" t="s">
        <v>12</v>
      </c>
    </row>
    <row r="317" customFormat="false" ht="15" hidden="false" customHeight="false" outlineLevel="0" collapsed="false">
      <c r="A317" s="2" t="s">
        <v>77</v>
      </c>
      <c r="B317" s="2" t="s">
        <v>13</v>
      </c>
      <c r="C317" s="3" t="n">
        <v>141230</v>
      </c>
      <c r="D317" s="3" t="n">
        <v>474810</v>
      </c>
      <c r="E317" s="4" t="n">
        <v>3362</v>
      </c>
      <c r="F317" s="2" t="s">
        <v>14</v>
      </c>
      <c r="G317" s="2" t="s">
        <v>11</v>
      </c>
      <c r="H317" s="2" t="s">
        <v>15</v>
      </c>
    </row>
    <row r="318" customFormat="false" ht="15" hidden="false" customHeight="false" outlineLevel="0" collapsed="false">
      <c r="A318" s="2" t="s">
        <v>77</v>
      </c>
      <c r="B318" s="2" t="s">
        <v>16</v>
      </c>
      <c r="C318" s="3" t="n">
        <v>151760</v>
      </c>
      <c r="D318" s="3" t="n">
        <v>530200</v>
      </c>
      <c r="E318" s="4" t="n">
        <v>3494</v>
      </c>
      <c r="F318" s="2" t="s">
        <v>17</v>
      </c>
      <c r="G318" s="2" t="s">
        <v>18</v>
      </c>
      <c r="H318" s="2" t="s">
        <v>12</v>
      </c>
    </row>
    <row r="319" customFormat="false" ht="15" hidden="false" customHeight="false" outlineLevel="0" collapsed="false">
      <c r="A319" s="2" t="s">
        <v>77</v>
      </c>
      <c r="B319" s="2" t="s">
        <v>19</v>
      </c>
      <c r="C319" s="3" t="n">
        <v>157820</v>
      </c>
      <c r="D319" s="3" t="n">
        <v>560430</v>
      </c>
      <c r="E319" s="4" t="n">
        <v>3551</v>
      </c>
      <c r="F319" s="2" t="s">
        <v>20</v>
      </c>
      <c r="G319" s="2" t="s">
        <v>18</v>
      </c>
      <c r="H319" s="2" t="s">
        <v>15</v>
      </c>
    </row>
    <row r="320" customFormat="false" ht="15" hidden="false" customHeight="false" outlineLevel="0" collapsed="false">
      <c r="A320" s="2" t="s">
        <v>77</v>
      </c>
      <c r="B320" s="2" t="s">
        <v>21</v>
      </c>
      <c r="C320" s="3" t="n">
        <v>154180</v>
      </c>
      <c r="D320" s="3" t="n">
        <v>518770</v>
      </c>
      <c r="E320" s="4" t="n">
        <v>3365</v>
      </c>
      <c r="F320" s="2" t="s">
        <v>22</v>
      </c>
      <c r="G320" s="2" t="s">
        <v>23</v>
      </c>
      <c r="H320" s="2" t="s">
        <v>12</v>
      </c>
    </row>
    <row r="321" customFormat="false" ht="15" hidden="false" customHeight="false" outlineLevel="0" collapsed="false">
      <c r="A321" s="2" t="s">
        <v>77</v>
      </c>
      <c r="B321" s="2" t="s">
        <v>24</v>
      </c>
      <c r="C321" s="3" t="n">
        <v>162280</v>
      </c>
      <c r="D321" s="3" t="n">
        <v>555130</v>
      </c>
      <c r="E321" s="4" t="n">
        <v>3421</v>
      </c>
      <c r="F321" s="2" t="s">
        <v>25</v>
      </c>
      <c r="G321" s="2" t="s">
        <v>23</v>
      </c>
      <c r="H321" s="2" t="s">
        <v>15</v>
      </c>
    </row>
    <row r="322" customFormat="false" ht="15" hidden="false" customHeight="false" outlineLevel="0" collapsed="false">
      <c r="A322" s="2" t="s">
        <v>77</v>
      </c>
      <c r="B322" s="2" t="s">
        <v>27</v>
      </c>
      <c r="C322" s="3" t="n">
        <v>144470</v>
      </c>
      <c r="D322" s="3" t="n">
        <v>510880</v>
      </c>
      <c r="E322" s="4" t="n">
        <v>3536</v>
      </c>
      <c r="F322" s="2" t="s">
        <v>28</v>
      </c>
      <c r="G322" s="2" t="s">
        <v>29</v>
      </c>
      <c r="H322" s="2" t="s">
        <v>12</v>
      </c>
    </row>
    <row r="323" customFormat="false" ht="15" hidden="false" customHeight="false" outlineLevel="0" collapsed="false">
      <c r="A323" s="2" t="s">
        <v>77</v>
      </c>
      <c r="B323" s="2" t="s">
        <v>30</v>
      </c>
      <c r="C323" s="3" t="n">
        <v>133540</v>
      </c>
      <c r="D323" s="3" t="n">
        <v>463370</v>
      </c>
      <c r="E323" s="4" t="n">
        <v>3470</v>
      </c>
      <c r="F323" s="2" t="s">
        <v>31</v>
      </c>
      <c r="G323" s="2" t="s">
        <v>29</v>
      </c>
      <c r="H323" s="2" t="s">
        <v>15</v>
      </c>
    </row>
    <row r="324" customFormat="false" ht="15" hidden="false" customHeight="false" outlineLevel="0" collapsed="false">
      <c r="A324" s="2" t="s">
        <v>77</v>
      </c>
      <c r="B324" s="2" t="s">
        <v>32</v>
      </c>
      <c r="C324" s="3" t="n">
        <v>123020</v>
      </c>
      <c r="D324" s="3" t="n">
        <v>431740</v>
      </c>
      <c r="E324" s="4" t="n">
        <v>3509</v>
      </c>
      <c r="F324" s="2" t="s">
        <v>33</v>
      </c>
      <c r="G324" s="2" t="s">
        <v>34</v>
      </c>
      <c r="H324" s="2" t="s">
        <v>15</v>
      </c>
    </row>
    <row r="325" customFormat="false" ht="15" hidden="false" customHeight="false" outlineLevel="0" collapsed="false">
      <c r="A325" s="2" t="s">
        <v>77</v>
      </c>
      <c r="B325" s="2" t="s">
        <v>35</v>
      </c>
      <c r="C325" s="3" t="n">
        <v>111290</v>
      </c>
      <c r="D325" s="3" t="n">
        <v>405350</v>
      </c>
      <c r="E325" s="4" t="n">
        <v>3642</v>
      </c>
      <c r="F325" s="2" t="s">
        <v>36</v>
      </c>
      <c r="G325" s="2" t="s">
        <v>37</v>
      </c>
      <c r="H325" s="2" t="s">
        <v>12</v>
      </c>
    </row>
    <row r="326" customFormat="false" ht="15" hidden="false" customHeight="false" outlineLevel="0" collapsed="false">
      <c r="A326" s="2" t="s">
        <v>77</v>
      </c>
      <c r="B326" s="2" t="s">
        <v>39</v>
      </c>
      <c r="C326" s="3" t="n">
        <v>93890</v>
      </c>
      <c r="D326" s="3" t="n">
        <v>323500</v>
      </c>
      <c r="E326" s="4" t="n">
        <v>3446</v>
      </c>
      <c r="F326" s="2" t="s">
        <v>40</v>
      </c>
      <c r="G326" s="2" t="s">
        <v>37</v>
      </c>
      <c r="H326" s="2" t="s">
        <v>15</v>
      </c>
    </row>
    <row r="327" customFormat="false" ht="15" hidden="false" customHeight="false" outlineLevel="0" collapsed="false">
      <c r="A327" s="2" t="s">
        <v>77</v>
      </c>
      <c r="B327" s="2" t="s">
        <v>41</v>
      </c>
      <c r="C327" s="3" t="n">
        <v>85400</v>
      </c>
      <c r="D327" s="3" t="n">
        <v>324800</v>
      </c>
      <c r="E327" s="4" t="n">
        <v>3804</v>
      </c>
      <c r="F327" s="2" t="s">
        <v>42</v>
      </c>
      <c r="G327" s="2" t="s">
        <v>43</v>
      </c>
      <c r="H327" s="2" t="s">
        <v>15</v>
      </c>
    </row>
    <row r="328" customFormat="false" ht="15" hidden="false" customHeight="false" outlineLevel="0" collapsed="false">
      <c r="A328" s="2" t="s">
        <v>78</v>
      </c>
      <c r="B328" s="2" t="s">
        <v>9</v>
      </c>
      <c r="C328" s="3" t="n">
        <v>301890</v>
      </c>
      <c r="D328" s="3" t="n">
        <v>941940</v>
      </c>
      <c r="E328" s="4" t="n">
        <v>3120</v>
      </c>
      <c r="F328" s="2" t="s">
        <v>10</v>
      </c>
      <c r="G328" s="2" t="s">
        <v>11</v>
      </c>
      <c r="H328" s="2" t="s">
        <v>12</v>
      </c>
    </row>
    <row r="329" customFormat="false" ht="15" hidden="false" customHeight="false" outlineLevel="0" collapsed="false">
      <c r="A329" s="2" t="s">
        <v>78</v>
      </c>
      <c r="B329" s="2" t="s">
        <v>13</v>
      </c>
      <c r="C329" s="3" t="n">
        <v>285700</v>
      </c>
      <c r="D329" s="3" t="n">
        <v>887160</v>
      </c>
      <c r="E329" s="4" t="n">
        <v>3105</v>
      </c>
      <c r="F329" s="2" t="s">
        <v>14</v>
      </c>
      <c r="G329" s="2" t="s">
        <v>11</v>
      </c>
      <c r="H329" s="2" t="s">
        <v>15</v>
      </c>
    </row>
    <row r="330" customFormat="false" ht="15" hidden="false" customHeight="false" outlineLevel="0" collapsed="false">
      <c r="A330" s="2" t="s">
        <v>78</v>
      </c>
      <c r="B330" s="2" t="s">
        <v>16</v>
      </c>
      <c r="C330" s="3" t="n">
        <v>279230</v>
      </c>
      <c r="D330" s="3" t="n">
        <v>929950</v>
      </c>
      <c r="E330" s="4" t="n">
        <v>3330</v>
      </c>
      <c r="F330" s="2" t="s">
        <v>17</v>
      </c>
      <c r="G330" s="2" t="s">
        <v>18</v>
      </c>
      <c r="H330" s="2" t="s">
        <v>12</v>
      </c>
    </row>
    <row r="331" customFormat="false" ht="15" hidden="false" customHeight="false" outlineLevel="0" collapsed="false">
      <c r="A331" s="2" t="s">
        <v>78</v>
      </c>
      <c r="B331" s="2" t="s">
        <v>19</v>
      </c>
      <c r="C331" s="3" t="n">
        <v>293390</v>
      </c>
      <c r="D331" s="3" t="n">
        <v>988580</v>
      </c>
      <c r="E331" s="4" t="n">
        <v>3369</v>
      </c>
      <c r="F331" s="2" t="s">
        <v>20</v>
      </c>
      <c r="G331" s="2" t="s">
        <v>18</v>
      </c>
      <c r="H331" s="2" t="s">
        <v>15</v>
      </c>
    </row>
    <row r="332" customFormat="false" ht="15" hidden="false" customHeight="false" outlineLevel="0" collapsed="false">
      <c r="A332" s="2" t="s">
        <v>78</v>
      </c>
      <c r="B332" s="2" t="s">
        <v>21</v>
      </c>
      <c r="C332" s="3" t="n">
        <v>324950</v>
      </c>
      <c r="D332" s="3" t="n">
        <v>1025580</v>
      </c>
      <c r="E332" s="4" t="n">
        <v>3156</v>
      </c>
      <c r="F332" s="2" t="s">
        <v>22</v>
      </c>
      <c r="G332" s="2" t="s">
        <v>23</v>
      </c>
      <c r="H332" s="2" t="s">
        <v>12</v>
      </c>
    </row>
    <row r="333" customFormat="false" ht="15" hidden="false" customHeight="false" outlineLevel="0" collapsed="false">
      <c r="A333" s="2" t="s">
        <v>78</v>
      </c>
      <c r="B333" s="2" t="s">
        <v>24</v>
      </c>
      <c r="C333" s="3" t="n">
        <v>309170</v>
      </c>
      <c r="D333" s="3" t="n">
        <v>1015970</v>
      </c>
      <c r="E333" s="4" t="n">
        <v>3288</v>
      </c>
      <c r="F333" s="2" t="s">
        <v>25</v>
      </c>
      <c r="G333" s="2" t="s">
        <v>23</v>
      </c>
      <c r="H333" s="2" t="s">
        <v>15</v>
      </c>
    </row>
    <row r="334" customFormat="false" ht="15" hidden="false" customHeight="false" outlineLevel="0" collapsed="false">
      <c r="A334" s="2" t="s">
        <v>78</v>
      </c>
      <c r="B334" s="2" t="s">
        <v>27</v>
      </c>
      <c r="C334" s="3" t="n">
        <v>279220</v>
      </c>
      <c r="D334" s="3" t="n">
        <v>953730</v>
      </c>
      <c r="E334" s="4" t="n">
        <v>3415</v>
      </c>
      <c r="F334" s="2" t="s">
        <v>28</v>
      </c>
      <c r="G334" s="2" t="s">
        <v>29</v>
      </c>
      <c r="H334" s="2" t="s">
        <v>12</v>
      </c>
    </row>
    <row r="335" customFormat="false" ht="15" hidden="false" customHeight="false" outlineLevel="0" collapsed="false">
      <c r="A335" s="2" t="s">
        <v>78</v>
      </c>
      <c r="B335" s="2" t="s">
        <v>30</v>
      </c>
      <c r="C335" s="3" t="n">
        <v>275180</v>
      </c>
      <c r="D335" s="3" t="n">
        <v>817560</v>
      </c>
      <c r="E335" s="4" t="n">
        <v>2971</v>
      </c>
      <c r="F335" s="2" t="s">
        <v>31</v>
      </c>
      <c r="G335" s="2" t="s">
        <v>29</v>
      </c>
      <c r="H335" s="2" t="s">
        <v>15</v>
      </c>
    </row>
    <row r="336" customFormat="false" ht="15" hidden="false" customHeight="false" outlineLevel="0" collapsed="false">
      <c r="A336" s="2" t="s">
        <v>78</v>
      </c>
      <c r="B336" s="2" t="s">
        <v>32</v>
      </c>
      <c r="C336" s="3" t="n">
        <v>322130</v>
      </c>
      <c r="D336" s="3" t="n">
        <v>1025440</v>
      </c>
      <c r="E336" s="4" t="n">
        <v>3183</v>
      </c>
      <c r="F336" s="2" t="s">
        <v>33</v>
      </c>
      <c r="G336" s="2" t="s">
        <v>34</v>
      </c>
      <c r="H336" s="2" t="s">
        <v>15</v>
      </c>
    </row>
    <row r="337" customFormat="false" ht="15" hidden="false" customHeight="false" outlineLevel="0" collapsed="false">
      <c r="A337" s="2" t="s">
        <v>79</v>
      </c>
      <c r="B337" s="2" t="s">
        <v>35</v>
      </c>
      <c r="C337" s="3" t="n">
        <v>296630</v>
      </c>
      <c r="D337" s="3" t="n">
        <v>1037050</v>
      </c>
      <c r="E337" s="4" t="n">
        <v>3496</v>
      </c>
      <c r="F337" s="2" t="s">
        <v>36</v>
      </c>
      <c r="G337" s="2" t="s">
        <v>37</v>
      </c>
      <c r="H337" s="2" t="s">
        <v>38</v>
      </c>
    </row>
    <row r="338" customFormat="false" ht="15" hidden="false" customHeight="false" outlineLevel="0" collapsed="false">
      <c r="A338" s="2" t="s">
        <v>79</v>
      </c>
      <c r="B338" s="2" t="s">
        <v>39</v>
      </c>
      <c r="C338" s="3" t="n">
        <v>277200</v>
      </c>
      <c r="D338" s="3" t="n">
        <v>1028050</v>
      </c>
      <c r="E338" s="4" t="n">
        <v>3709</v>
      </c>
      <c r="F338" s="2" t="s">
        <v>40</v>
      </c>
      <c r="G338" s="2" t="s">
        <v>37</v>
      </c>
      <c r="H338" s="2" t="s">
        <v>15</v>
      </c>
    </row>
    <row r="339" customFormat="false" ht="15" hidden="false" customHeight="false" outlineLevel="0" collapsed="false">
      <c r="A339" s="2" t="s">
        <v>78</v>
      </c>
      <c r="B339" s="2" t="s">
        <v>41</v>
      </c>
      <c r="C339" s="3" t="n">
        <v>289300</v>
      </c>
      <c r="D339" s="3" t="n">
        <v>1093700</v>
      </c>
      <c r="E339" s="4" t="n">
        <v>3780</v>
      </c>
      <c r="F339" s="2" t="s">
        <v>42</v>
      </c>
      <c r="G339" s="2" t="s">
        <v>43</v>
      </c>
      <c r="H339" s="2" t="s">
        <v>15</v>
      </c>
    </row>
    <row r="340" customFormat="false" ht="15" hidden="false" customHeight="false" outlineLevel="0" collapsed="false">
      <c r="A340" s="2" t="s">
        <v>80</v>
      </c>
      <c r="B340" s="2" t="s">
        <v>9</v>
      </c>
      <c r="C340" s="3" t="n">
        <v>174820</v>
      </c>
      <c r="D340" s="3" t="n">
        <v>478400</v>
      </c>
      <c r="E340" s="4" t="n">
        <v>2737</v>
      </c>
      <c r="F340" s="2" t="s">
        <v>10</v>
      </c>
      <c r="G340" s="2" t="s">
        <v>11</v>
      </c>
      <c r="H340" s="2" t="s">
        <v>12</v>
      </c>
    </row>
    <row r="341" customFormat="false" ht="15" hidden="false" customHeight="false" outlineLevel="0" collapsed="false">
      <c r="A341" s="2" t="s">
        <v>80</v>
      </c>
      <c r="B341" s="2" t="s">
        <v>13</v>
      </c>
      <c r="C341" s="3" t="n">
        <v>159440</v>
      </c>
      <c r="D341" s="3" t="n">
        <v>376760</v>
      </c>
      <c r="E341" s="4" t="n">
        <v>2363</v>
      </c>
      <c r="F341" s="2" t="s">
        <v>14</v>
      </c>
      <c r="G341" s="2" t="s">
        <v>11</v>
      </c>
      <c r="H341" s="2" t="s">
        <v>15</v>
      </c>
    </row>
    <row r="342" customFormat="false" ht="15" hidden="false" customHeight="false" outlineLevel="0" collapsed="false">
      <c r="A342" s="2" t="s">
        <v>80</v>
      </c>
      <c r="B342" s="2" t="s">
        <v>16</v>
      </c>
      <c r="C342" s="3" t="n">
        <v>165920</v>
      </c>
      <c r="D342" s="3" t="n">
        <v>430210</v>
      </c>
      <c r="E342" s="4" t="n">
        <v>2593</v>
      </c>
      <c r="F342" s="2" t="s">
        <v>17</v>
      </c>
      <c r="G342" s="2" t="s">
        <v>18</v>
      </c>
      <c r="H342" s="2" t="s">
        <v>12</v>
      </c>
    </row>
    <row r="343" customFormat="false" ht="15" hidden="false" customHeight="false" outlineLevel="0" collapsed="false">
      <c r="A343" s="2" t="s">
        <v>80</v>
      </c>
      <c r="B343" s="2" t="s">
        <v>19</v>
      </c>
      <c r="C343" s="3" t="n">
        <v>176840</v>
      </c>
      <c r="D343" s="3" t="n">
        <v>461230</v>
      </c>
      <c r="E343" s="4" t="n">
        <v>2608</v>
      </c>
      <c r="F343" s="2" t="s">
        <v>20</v>
      </c>
      <c r="G343" s="2" t="s">
        <v>18</v>
      </c>
      <c r="H343" s="2" t="s">
        <v>15</v>
      </c>
    </row>
    <row r="344" customFormat="false" ht="15" hidden="false" customHeight="false" outlineLevel="0" collapsed="false">
      <c r="A344" s="2" t="s">
        <v>80</v>
      </c>
      <c r="B344" s="2" t="s">
        <v>21</v>
      </c>
      <c r="C344" s="3" t="n">
        <v>175220</v>
      </c>
      <c r="D344" s="3" t="n">
        <v>495060</v>
      </c>
      <c r="E344" s="4" t="n">
        <v>2825</v>
      </c>
      <c r="F344" s="2" t="s">
        <v>22</v>
      </c>
      <c r="G344" s="2" t="s">
        <v>23</v>
      </c>
      <c r="H344" s="2" t="s">
        <v>12</v>
      </c>
    </row>
    <row r="345" customFormat="false" ht="15" hidden="false" customHeight="false" outlineLevel="0" collapsed="false">
      <c r="A345" s="2" t="s">
        <v>80</v>
      </c>
      <c r="B345" s="2" t="s">
        <v>24</v>
      </c>
      <c r="C345" s="3" t="n">
        <v>173600</v>
      </c>
      <c r="D345" s="3" t="n">
        <v>534460</v>
      </c>
      <c r="E345" s="5" t="n">
        <f aca="false">D345*1000/C345</f>
        <v>3078.6866359447</v>
      </c>
      <c r="F345" s="2" t="s">
        <v>25</v>
      </c>
      <c r="G345" s="2" t="s">
        <v>23</v>
      </c>
      <c r="H345" s="2" t="s">
        <v>26</v>
      </c>
    </row>
    <row r="346" customFormat="false" ht="15" hidden="false" customHeight="false" outlineLevel="0" collapsed="false">
      <c r="A346" s="2" t="s">
        <v>80</v>
      </c>
      <c r="B346" s="2" t="s">
        <v>27</v>
      </c>
      <c r="C346" s="3" t="n">
        <v>175230</v>
      </c>
      <c r="D346" s="3" t="n">
        <v>595030</v>
      </c>
      <c r="E346" s="4" t="n">
        <v>3396</v>
      </c>
      <c r="F346" s="2" t="s">
        <v>28</v>
      </c>
      <c r="G346" s="2" t="s">
        <v>29</v>
      </c>
      <c r="H346" s="2" t="s">
        <v>12</v>
      </c>
    </row>
    <row r="347" customFormat="false" ht="15" hidden="false" customHeight="false" outlineLevel="0" collapsed="false">
      <c r="A347" s="2" t="s">
        <v>80</v>
      </c>
      <c r="B347" s="2" t="s">
        <v>30</v>
      </c>
      <c r="C347" s="3" t="n">
        <v>178870</v>
      </c>
      <c r="D347" s="3" t="n">
        <v>541300</v>
      </c>
      <c r="E347" s="4" t="n">
        <v>3026</v>
      </c>
      <c r="F347" s="2" t="s">
        <v>31</v>
      </c>
      <c r="G347" s="2" t="s">
        <v>29</v>
      </c>
      <c r="H347" s="2" t="s">
        <v>15</v>
      </c>
    </row>
    <row r="348" customFormat="false" ht="15" hidden="false" customHeight="false" outlineLevel="0" collapsed="false">
      <c r="A348" s="2" t="s">
        <v>80</v>
      </c>
      <c r="B348" s="2" t="s">
        <v>32</v>
      </c>
      <c r="C348" s="3" t="n">
        <v>184530</v>
      </c>
      <c r="D348" s="3" t="n">
        <v>559920</v>
      </c>
      <c r="E348" s="4" t="n">
        <v>3034</v>
      </c>
      <c r="F348" s="2" t="s">
        <v>33</v>
      </c>
      <c r="G348" s="2" t="s">
        <v>34</v>
      </c>
      <c r="H348" s="2" t="s">
        <v>15</v>
      </c>
    </row>
    <row r="349" customFormat="false" ht="15" hidden="false" customHeight="false" outlineLevel="0" collapsed="false">
      <c r="A349" s="2" t="s">
        <v>80</v>
      </c>
      <c r="B349" s="2" t="s">
        <v>35</v>
      </c>
      <c r="C349" s="3" t="n">
        <v>200720</v>
      </c>
      <c r="D349" s="3" t="n">
        <v>682530</v>
      </c>
      <c r="E349" s="4" t="n">
        <v>3401</v>
      </c>
      <c r="F349" s="2" t="s">
        <v>36</v>
      </c>
      <c r="G349" s="2" t="s">
        <v>37</v>
      </c>
      <c r="H349" s="2" t="s">
        <v>12</v>
      </c>
    </row>
    <row r="350" customFormat="false" ht="15" hidden="false" customHeight="false" outlineLevel="0" collapsed="false">
      <c r="A350" s="2" t="s">
        <v>80</v>
      </c>
      <c r="B350" s="2" t="s">
        <v>39</v>
      </c>
      <c r="C350" s="3" t="n">
        <v>193840</v>
      </c>
      <c r="D350" s="3" t="n">
        <v>672210</v>
      </c>
      <c r="E350" s="4" t="n">
        <v>3468</v>
      </c>
      <c r="F350" s="2" t="s">
        <v>40</v>
      </c>
      <c r="G350" s="2" t="s">
        <v>37</v>
      </c>
      <c r="H350" s="2" t="s">
        <v>15</v>
      </c>
    </row>
    <row r="351" customFormat="false" ht="15" hidden="false" customHeight="false" outlineLevel="0" collapsed="false">
      <c r="A351" s="2" t="s">
        <v>80</v>
      </c>
      <c r="B351" s="2" t="s">
        <v>41</v>
      </c>
      <c r="C351" s="3" t="n">
        <v>185300</v>
      </c>
      <c r="D351" s="3" t="n">
        <v>649100</v>
      </c>
      <c r="E351" s="4" t="n">
        <v>3503</v>
      </c>
      <c r="F351" s="2" t="s">
        <v>42</v>
      </c>
      <c r="G351" s="2" t="s">
        <v>43</v>
      </c>
      <c r="H351" s="2" t="s">
        <v>15</v>
      </c>
    </row>
    <row r="352" customFormat="false" ht="15" hidden="false" customHeight="false" outlineLevel="0" collapsed="false">
      <c r="A352" s="2" t="s">
        <v>81</v>
      </c>
      <c r="B352" s="2" t="s">
        <v>9</v>
      </c>
      <c r="C352" s="3" t="n">
        <v>114930</v>
      </c>
      <c r="D352" s="3" t="n">
        <v>158060</v>
      </c>
      <c r="E352" s="4" t="n">
        <v>1375</v>
      </c>
      <c r="F352" s="2" t="s">
        <v>10</v>
      </c>
      <c r="G352" s="2" t="s">
        <v>11</v>
      </c>
      <c r="H352" s="2" t="s">
        <v>12</v>
      </c>
    </row>
    <row r="353" customFormat="false" ht="15" hidden="false" customHeight="false" outlineLevel="0" collapsed="false">
      <c r="A353" s="2" t="s">
        <v>81</v>
      </c>
      <c r="B353" s="2" t="s">
        <v>13</v>
      </c>
      <c r="C353" s="3" t="n">
        <v>116550</v>
      </c>
      <c r="D353" s="3" t="n">
        <v>143740</v>
      </c>
      <c r="E353" s="4" t="n">
        <v>1233</v>
      </c>
      <c r="F353" s="2" t="s">
        <v>14</v>
      </c>
      <c r="G353" s="2" t="s">
        <v>11</v>
      </c>
      <c r="H353" s="2" t="s">
        <v>15</v>
      </c>
    </row>
    <row r="354" customFormat="false" ht="15" hidden="false" customHeight="false" outlineLevel="0" collapsed="false">
      <c r="A354" s="2" t="s">
        <v>81</v>
      </c>
      <c r="B354" s="2" t="s">
        <v>16</v>
      </c>
      <c r="C354" s="3" t="n">
        <v>115740</v>
      </c>
      <c r="D354" s="3" t="n">
        <v>211310</v>
      </c>
      <c r="E354" s="4" t="n">
        <v>1826</v>
      </c>
      <c r="F354" s="2" t="s">
        <v>17</v>
      </c>
      <c r="G354" s="2" t="s">
        <v>18</v>
      </c>
      <c r="H354" s="2" t="s">
        <v>12</v>
      </c>
    </row>
    <row r="355" customFormat="false" ht="15" hidden="false" customHeight="false" outlineLevel="0" collapsed="false">
      <c r="A355" s="2" t="s">
        <v>81</v>
      </c>
      <c r="B355" s="2" t="s">
        <v>19</v>
      </c>
      <c r="C355" s="3" t="n">
        <v>117360</v>
      </c>
      <c r="D355" s="3" t="n">
        <v>164600</v>
      </c>
      <c r="E355" s="4" t="n">
        <v>1403</v>
      </c>
      <c r="F355" s="2" t="s">
        <v>20</v>
      </c>
      <c r="G355" s="2" t="s">
        <v>18</v>
      </c>
      <c r="H355" s="2" t="s">
        <v>15</v>
      </c>
    </row>
    <row r="356" customFormat="false" ht="15" hidden="false" customHeight="false" outlineLevel="0" collapsed="false">
      <c r="A356" s="2" t="s">
        <v>81</v>
      </c>
      <c r="B356" s="2" t="s">
        <v>21</v>
      </c>
      <c r="C356" s="3" t="n">
        <v>110880</v>
      </c>
      <c r="D356" s="3" t="n">
        <v>178960</v>
      </c>
      <c r="E356" s="4" t="n">
        <v>1614</v>
      </c>
      <c r="F356" s="2" t="s">
        <v>22</v>
      </c>
      <c r="G356" s="2" t="s">
        <v>23</v>
      </c>
      <c r="H356" s="2" t="s">
        <v>12</v>
      </c>
    </row>
    <row r="357" customFormat="false" ht="15" hidden="false" customHeight="false" outlineLevel="0" collapsed="false">
      <c r="A357" s="2" t="s">
        <v>81</v>
      </c>
      <c r="B357" s="2" t="s">
        <v>24</v>
      </c>
      <c r="C357" s="3" t="n">
        <v>110070</v>
      </c>
      <c r="D357" s="3" t="n">
        <v>183820</v>
      </c>
      <c r="E357" s="4" t="n">
        <v>1671</v>
      </c>
      <c r="F357" s="2" t="s">
        <v>25</v>
      </c>
      <c r="G357" s="2" t="s">
        <v>23</v>
      </c>
      <c r="H357" s="2" t="s">
        <v>15</v>
      </c>
    </row>
    <row r="358" customFormat="false" ht="15" hidden="false" customHeight="false" outlineLevel="0" collapsed="false">
      <c r="A358" s="2" t="s">
        <v>81</v>
      </c>
      <c r="B358" s="2" t="s">
        <v>27</v>
      </c>
      <c r="C358" s="3" t="n">
        <v>97130</v>
      </c>
      <c r="D358" s="3" t="n">
        <v>119580</v>
      </c>
      <c r="E358" s="4" t="n">
        <v>1231</v>
      </c>
      <c r="F358" s="2" t="s">
        <v>28</v>
      </c>
      <c r="G358" s="2" t="s">
        <v>29</v>
      </c>
      <c r="H358" s="2" t="s">
        <v>12</v>
      </c>
    </row>
    <row r="359" customFormat="false" ht="15" hidden="false" customHeight="false" outlineLevel="0" collapsed="false">
      <c r="A359" s="2" t="s">
        <v>81</v>
      </c>
      <c r="B359" s="2" t="s">
        <v>30</v>
      </c>
      <c r="C359" s="3" t="n">
        <v>104000</v>
      </c>
      <c r="D359" s="3" t="n">
        <v>155860</v>
      </c>
      <c r="E359" s="4" t="n">
        <v>1499</v>
      </c>
      <c r="F359" s="2" t="s">
        <v>31</v>
      </c>
      <c r="G359" s="2" t="s">
        <v>29</v>
      </c>
      <c r="H359" s="2" t="s">
        <v>15</v>
      </c>
    </row>
    <row r="360" customFormat="false" ht="15" hidden="false" customHeight="false" outlineLevel="0" collapsed="false">
      <c r="A360" s="2" t="s">
        <v>81</v>
      </c>
      <c r="B360" s="2" t="s">
        <v>32</v>
      </c>
      <c r="C360" s="3" t="n">
        <v>103600</v>
      </c>
      <c r="D360" s="3" t="n">
        <v>161490</v>
      </c>
      <c r="E360" s="4" t="n">
        <v>1559</v>
      </c>
      <c r="F360" s="2" t="s">
        <v>33</v>
      </c>
      <c r="G360" s="2" t="s">
        <v>34</v>
      </c>
      <c r="H360" s="2" t="s">
        <v>15</v>
      </c>
    </row>
    <row r="361" customFormat="false" ht="15" hidden="false" customHeight="false" outlineLevel="0" collapsed="false">
      <c r="A361" s="2" t="s">
        <v>81</v>
      </c>
      <c r="B361" s="2" t="s">
        <v>35</v>
      </c>
      <c r="C361" s="3" t="n">
        <v>154990</v>
      </c>
      <c r="D361" s="3" t="n">
        <v>256480</v>
      </c>
      <c r="E361" s="4" t="n">
        <v>1655</v>
      </c>
      <c r="F361" s="2" t="s">
        <v>36</v>
      </c>
      <c r="G361" s="2" t="s">
        <v>37</v>
      </c>
      <c r="H361" s="2" t="s">
        <v>12</v>
      </c>
    </row>
    <row r="362" customFormat="false" ht="15" hidden="false" customHeight="false" outlineLevel="0" collapsed="false">
      <c r="A362" s="2" t="s">
        <v>81</v>
      </c>
      <c r="B362" s="2" t="s">
        <v>39</v>
      </c>
      <c r="C362" s="3" t="n">
        <v>159850</v>
      </c>
      <c r="D362" s="3" t="n">
        <v>311160</v>
      </c>
      <c r="E362" s="4" t="n">
        <v>1946</v>
      </c>
      <c r="F362" s="2" t="s">
        <v>40</v>
      </c>
      <c r="G362" s="2" t="s">
        <v>37</v>
      </c>
      <c r="H362" s="2" t="s">
        <v>15</v>
      </c>
    </row>
    <row r="363" customFormat="false" ht="15" hidden="false" customHeight="false" outlineLevel="0" collapsed="false">
      <c r="A363" s="2" t="s">
        <v>81</v>
      </c>
      <c r="B363" s="2" t="s">
        <v>41</v>
      </c>
      <c r="C363" s="3" t="n">
        <v>162700</v>
      </c>
      <c r="D363" s="3" t="n">
        <v>340600</v>
      </c>
      <c r="E363" s="4" t="n">
        <v>2094</v>
      </c>
      <c r="F363" s="2" t="s">
        <v>42</v>
      </c>
      <c r="G363" s="2" t="s">
        <v>43</v>
      </c>
      <c r="H363" s="2" t="s">
        <v>82</v>
      </c>
    </row>
    <row r="364" customFormat="false" ht="15" hidden="false" customHeight="false" outlineLevel="0" collapsed="false">
      <c r="A364" s="2" t="s">
        <v>83</v>
      </c>
      <c r="B364" s="2" t="s">
        <v>9</v>
      </c>
      <c r="C364" s="3" t="n">
        <v>139620</v>
      </c>
      <c r="D364" s="3" t="n">
        <v>453140</v>
      </c>
      <c r="E364" s="4" t="n">
        <v>3246</v>
      </c>
      <c r="F364" s="2" t="s">
        <v>10</v>
      </c>
      <c r="G364" s="2" t="s">
        <v>11</v>
      </c>
      <c r="H364" s="2" t="s">
        <v>12</v>
      </c>
    </row>
    <row r="365" customFormat="false" ht="15" hidden="false" customHeight="false" outlineLevel="0" collapsed="false">
      <c r="A365" s="2" t="s">
        <v>83</v>
      </c>
      <c r="B365" s="2" t="s">
        <v>13</v>
      </c>
      <c r="C365" s="3" t="n">
        <v>133550</v>
      </c>
      <c r="D365" s="3" t="n">
        <v>415210</v>
      </c>
      <c r="E365" s="4" t="n">
        <v>3109</v>
      </c>
      <c r="F365" s="2" t="s">
        <v>14</v>
      </c>
      <c r="G365" s="2" t="s">
        <v>11</v>
      </c>
      <c r="H365" s="2" t="s">
        <v>15</v>
      </c>
    </row>
    <row r="366" customFormat="false" ht="15" hidden="false" customHeight="false" outlineLevel="0" collapsed="false">
      <c r="A366" s="2" t="s">
        <v>83</v>
      </c>
      <c r="B366" s="2" t="s">
        <v>16</v>
      </c>
      <c r="C366" s="3" t="n">
        <v>135160</v>
      </c>
      <c r="D366" s="3" t="n">
        <v>422110</v>
      </c>
      <c r="E366" s="4" t="n">
        <v>3123</v>
      </c>
      <c r="F366" s="2" t="s">
        <v>17</v>
      </c>
      <c r="G366" s="2" t="s">
        <v>18</v>
      </c>
      <c r="H366" s="2" t="s">
        <v>12</v>
      </c>
    </row>
    <row r="367" customFormat="false" ht="15" hidden="false" customHeight="false" outlineLevel="0" collapsed="false">
      <c r="A367" s="2" t="s">
        <v>83</v>
      </c>
      <c r="B367" s="2" t="s">
        <v>19</v>
      </c>
      <c r="C367" s="3" t="n">
        <v>144880</v>
      </c>
      <c r="D367" s="3" t="n">
        <v>463670</v>
      </c>
      <c r="E367" s="4" t="n">
        <v>3200</v>
      </c>
      <c r="F367" s="2" t="s">
        <v>20</v>
      </c>
      <c r="G367" s="2" t="s">
        <v>18</v>
      </c>
      <c r="H367" s="2" t="s">
        <v>15</v>
      </c>
    </row>
    <row r="368" customFormat="false" ht="15" hidden="false" customHeight="false" outlineLevel="0" collapsed="false">
      <c r="A368" s="2" t="s">
        <v>83</v>
      </c>
      <c r="B368" s="2" t="s">
        <v>21</v>
      </c>
      <c r="C368" s="3" t="n">
        <v>151760</v>
      </c>
      <c r="D368" s="3" t="n">
        <v>462310</v>
      </c>
      <c r="E368" s="4" t="n">
        <v>3046</v>
      </c>
      <c r="F368" s="2" t="s">
        <v>22</v>
      </c>
      <c r="G368" s="2" t="s">
        <v>23</v>
      </c>
      <c r="H368" s="2" t="s">
        <v>12</v>
      </c>
    </row>
    <row r="369" customFormat="false" ht="15" hidden="false" customHeight="false" outlineLevel="0" collapsed="false">
      <c r="A369" s="2" t="s">
        <v>83</v>
      </c>
      <c r="B369" s="2" t="s">
        <v>24</v>
      </c>
      <c r="C369" s="3" t="n">
        <v>156610</v>
      </c>
      <c r="D369" s="3" t="n">
        <v>490970</v>
      </c>
      <c r="E369" s="4" t="n">
        <v>3135</v>
      </c>
      <c r="F369" s="2" t="s">
        <v>25</v>
      </c>
      <c r="G369" s="2" t="s">
        <v>23</v>
      </c>
      <c r="H369" s="2" t="s">
        <v>15</v>
      </c>
    </row>
    <row r="370" customFormat="false" ht="15" hidden="false" customHeight="false" outlineLevel="0" collapsed="false">
      <c r="A370" s="2" t="s">
        <v>83</v>
      </c>
      <c r="B370" s="2" t="s">
        <v>27</v>
      </c>
      <c r="C370" s="3" t="n">
        <v>142450</v>
      </c>
      <c r="D370" s="3" t="n">
        <v>504510</v>
      </c>
      <c r="E370" s="4" t="n">
        <v>3542</v>
      </c>
      <c r="F370" s="2" t="s">
        <v>28</v>
      </c>
      <c r="G370" s="2" t="s">
        <v>29</v>
      </c>
      <c r="H370" s="2" t="s">
        <v>12</v>
      </c>
    </row>
    <row r="371" customFormat="false" ht="15" hidden="false" customHeight="false" outlineLevel="0" collapsed="false">
      <c r="A371" s="2" t="s">
        <v>83</v>
      </c>
      <c r="B371" s="2" t="s">
        <v>30</v>
      </c>
      <c r="C371" s="3" t="n">
        <v>143260</v>
      </c>
      <c r="D371" s="3" t="n">
        <v>496910</v>
      </c>
      <c r="E371" s="4" t="n">
        <v>3469</v>
      </c>
      <c r="F371" s="2" t="s">
        <v>31</v>
      </c>
      <c r="G371" s="2" t="s">
        <v>29</v>
      </c>
      <c r="H371" s="2" t="s">
        <v>15</v>
      </c>
    </row>
    <row r="372" customFormat="false" ht="15" hidden="false" customHeight="false" outlineLevel="0" collapsed="false">
      <c r="A372" s="2" t="s">
        <v>83</v>
      </c>
      <c r="B372" s="2" t="s">
        <v>32</v>
      </c>
      <c r="C372" s="3" t="n">
        <v>138400</v>
      </c>
      <c r="D372" s="3" t="n">
        <v>451500</v>
      </c>
      <c r="E372" s="4" t="n">
        <v>3262</v>
      </c>
      <c r="F372" s="2" t="s">
        <v>33</v>
      </c>
      <c r="G372" s="2" t="s">
        <v>34</v>
      </c>
      <c r="H372" s="2" t="s">
        <v>15</v>
      </c>
    </row>
    <row r="373" customFormat="false" ht="15" hidden="false" customHeight="false" outlineLevel="0" collapsed="false">
      <c r="A373" s="2" t="s">
        <v>83</v>
      </c>
      <c r="B373" s="2" t="s">
        <v>35</v>
      </c>
      <c r="C373" s="3" t="n">
        <v>124240</v>
      </c>
      <c r="D373" s="3" t="n">
        <v>439620</v>
      </c>
      <c r="E373" s="4" t="n">
        <v>3539</v>
      </c>
      <c r="F373" s="2" t="s">
        <v>36</v>
      </c>
      <c r="G373" s="2" t="s">
        <v>37</v>
      </c>
      <c r="H373" s="2" t="s">
        <v>12</v>
      </c>
    </row>
    <row r="374" customFormat="false" ht="15" hidden="false" customHeight="false" outlineLevel="0" collapsed="false">
      <c r="A374" s="2" t="s">
        <v>83</v>
      </c>
      <c r="B374" s="2" t="s">
        <v>39</v>
      </c>
      <c r="C374" s="3" t="n">
        <v>112910</v>
      </c>
      <c r="D374" s="3" t="n">
        <v>384910</v>
      </c>
      <c r="E374" s="4" t="n">
        <v>3409</v>
      </c>
      <c r="F374" s="2" t="s">
        <v>40</v>
      </c>
      <c r="G374" s="2" t="s">
        <v>37</v>
      </c>
      <c r="H374" s="2" t="s">
        <v>15</v>
      </c>
    </row>
    <row r="375" customFormat="false" ht="15" hidden="false" customHeight="false" outlineLevel="0" collapsed="false">
      <c r="A375" s="2" t="s">
        <v>83</v>
      </c>
      <c r="B375" s="2" t="s">
        <v>41</v>
      </c>
      <c r="C375" s="3" t="n">
        <v>111300</v>
      </c>
      <c r="D375" s="3" t="n">
        <v>407800</v>
      </c>
      <c r="E375" s="4" t="n">
        <v>3664</v>
      </c>
      <c r="F375" s="2" t="s">
        <v>42</v>
      </c>
      <c r="G375" s="2" t="s">
        <v>43</v>
      </c>
      <c r="H375" s="2" t="s">
        <v>15</v>
      </c>
    </row>
    <row r="376" customFormat="false" ht="15" hidden="false" customHeight="false" outlineLevel="0" collapsed="false">
      <c r="A376" s="2" t="s">
        <v>84</v>
      </c>
      <c r="B376" s="2" t="s">
        <v>9</v>
      </c>
      <c r="C376" s="3" t="n">
        <v>218930</v>
      </c>
      <c r="D376" s="3" t="n">
        <v>565390</v>
      </c>
      <c r="E376" s="4" t="n">
        <v>2582</v>
      </c>
      <c r="F376" s="2" t="s">
        <v>10</v>
      </c>
      <c r="G376" s="2" t="s">
        <v>11</v>
      </c>
      <c r="H376" s="2" t="s">
        <v>12</v>
      </c>
    </row>
    <row r="377" customFormat="false" ht="15" hidden="false" customHeight="false" outlineLevel="0" collapsed="false">
      <c r="A377" s="2" t="s">
        <v>84</v>
      </c>
      <c r="B377" s="2" t="s">
        <v>13</v>
      </c>
      <c r="C377" s="3" t="n">
        <v>211240</v>
      </c>
      <c r="D377" s="3" t="n">
        <v>562290</v>
      </c>
      <c r="E377" s="4" t="n">
        <v>2662</v>
      </c>
      <c r="F377" s="2" t="s">
        <v>14</v>
      </c>
      <c r="G377" s="2" t="s">
        <v>11</v>
      </c>
      <c r="H377" s="2" t="s">
        <v>15</v>
      </c>
    </row>
    <row r="378" customFormat="false" ht="15" hidden="false" customHeight="false" outlineLevel="0" collapsed="false">
      <c r="A378" s="2" t="s">
        <v>84</v>
      </c>
      <c r="B378" s="2" t="s">
        <v>16</v>
      </c>
      <c r="C378" s="3" t="n">
        <v>210430</v>
      </c>
      <c r="D378" s="3" t="n">
        <v>577020</v>
      </c>
      <c r="E378" s="4" t="n">
        <v>2742</v>
      </c>
      <c r="F378" s="2" t="s">
        <v>17</v>
      </c>
      <c r="G378" s="2" t="s">
        <v>18</v>
      </c>
      <c r="H378" s="2" t="s">
        <v>12</v>
      </c>
    </row>
    <row r="379" customFormat="false" ht="15" hidden="false" customHeight="false" outlineLevel="0" collapsed="false">
      <c r="A379" s="2" t="s">
        <v>84</v>
      </c>
      <c r="B379" s="2" t="s">
        <v>19</v>
      </c>
      <c r="C379" s="3" t="n">
        <v>221760</v>
      </c>
      <c r="D379" s="3" t="n">
        <v>513390</v>
      </c>
      <c r="E379" s="4" t="n">
        <v>2315</v>
      </c>
      <c r="F379" s="2" t="s">
        <v>20</v>
      </c>
      <c r="G379" s="2" t="s">
        <v>18</v>
      </c>
      <c r="H379" s="2" t="s">
        <v>15</v>
      </c>
    </row>
    <row r="380" customFormat="false" ht="15" hidden="false" customHeight="false" outlineLevel="0" collapsed="false">
      <c r="A380" s="2" t="s">
        <v>84</v>
      </c>
      <c r="B380" s="2" t="s">
        <v>21</v>
      </c>
      <c r="C380" s="3" t="n">
        <v>220950</v>
      </c>
      <c r="D380" s="3" t="n">
        <v>509890</v>
      </c>
      <c r="E380" s="4" t="n">
        <v>2308</v>
      </c>
      <c r="F380" s="2" t="s">
        <v>22</v>
      </c>
      <c r="G380" s="2" t="s">
        <v>23</v>
      </c>
      <c r="H380" s="2" t="s">
        <v>12</v>
      </c>
    </row>
    <row r="381" customFormat="false" ht="15" hidden="false" customHeight="false" outlineLevel="0" collapsed="false">
      <c r="A381" s="2" t="s">
        <v>84</v>
      </c>
      <c r="B381" s="2" t="s">
        <v>24</v>
      </c>
      <c r="C381" s="3" t="n">
        <v>216500</v>
      </c>
      <c r="D381" s="3" t="n">
        <v>539350</v>
      </c>
      <c r="E381" s="4" t="n">
        <v>2491</v>
      </c>
      <c r="F381" s="2" t="s">
        <v>25</v>
      </c>
      <c r="G381" s="2" t="s">
        <v>23</v>
      </c>
      <c r="H381" s="2" t="s">
        <v>15</v>
      </c>
    </row>
    <row r="382" customFormat="false" ht="15" hidden="false" customHeight="false" outlineLevel="0" collapsed="false">
      <c r="A382" s="2" t="s">
        <v>84</v>
      </c>
      <c r="B382" s="2" t="s">
        <v>27</v>
      </c>
      <c r="C382" s="3" t="n">
        <v>205170</v>
      </c>
      <c r="D382" s="3" t="n">
        <v>572440</v>
      </c>
      <c r="E382" s="4" t="n">
        <v>2790</v>
      </c>
      <c r="F382" s="2" t="s">
        <v>28</v>
      </c>
      <c r="G382" s="2" t="s">
        <v>29</v>
      </c>
      <c r="H382" s="2" t="s">
        <v>12</v>
      </c>
    </row>
    <row r="383" customFormat="false" ht="15" hidden="false" customHeight="false" outlineLevel="0" collapsed="false">
      <c r="A383" s="2" t="s">
        <v>84</v>
      </c>
      <c r="B383" s="2" t="s">
        <v>30</v>
      </c>
      <c r="C383" s="3" t="n">
        <v>193430</v>
      </c>
      <c r="D383" s="3" t="n">
        <v>535550</v>
      </c>
      <c r="E383" s="4" t="n">
        <v>2769</v>
      </c>
      <c r="F383" s="2" t="s">
        <v>31</v>
      </c>
      <c r="G383" s="2" t="s">
        <v>29</v>
      </c>
      <c r="H383" s="2" t="s">
        <v>15</v>
      </c>
    </row>
    <row r="384" customFormat="false" ht="15" hidden="false" customHeight="false" outlineLevel="0" collapsed="false">
      <c r="A384" s="2" t="s">
        <v>84</v>
      </c>
      <c r="B384" s="2" t="s">
        <v>32</v>
      </c>
      <c r="C384" s="3" t="n">
        <v>202740</v>
      </c>
      <c r="D384" s="3" t="n">
        <v>527520</v>
      </c>
      <c r="E384" s="4" t="n">
        <v>2602</v>
      </c>
      <c r="F384" s="2" t="s">
        <v>33</v>
      </c>
      <c r="G384" s="2" t="s">
        <v>34</v>
      </c>
      <c r="H384" s="2" t="s">
        <v>15</v>
      </c>
    </row>
    <row r="385" customFormat="false" ht="15" hidden="false" customHeight="false" outlineLevel="0" collapsed="false">
      <c r="A385" s="2" t="s">
        <v>84</v>
      </c>
      <c r="B385" s="2" t="s">
        <v>35</v>
      </c>
      <c r="C385" s="3" t="n">
        <v>207600</v>
      </c>
      <c r="D385" s="3" t="n">
        <v>616630</v>
      </c>
      <c r="E385" s="4" t="n">
        <v>2970</v>
      </c>
      <c r="F385" s="2" t="s">
        <v>36</v>
      </c>
      <c r="G385" s="2" t="s">
        <v>37</v>
      </c>
      <c r="H385" s="2" t="s">
        <v>38</v>
      </c>
    </row>
    <row r="386" customFormat="false" ht="15" hidden="false" customHeight="false" outlineLevel="0" collapsed="false">
      <c r="A386" s="2" t="s">
        <v>84</v>
      </c>
      <c r="B386" s="2" t="s">
        <v>39</v>
      </c>
      <c r="C386" s="3" t="n">
        <v>195050</v>
      </c>
      <c r="D386" s="3" t="n">
        <v>545620</v>
      </c>
      <c r="E386" s="4" t="n">
        <v>2797</v>
      </c>
      <c r="F386" s="2" t="s">
        <v>40</v>
      </c>
      <c r="G386" s="2" t="s">
        <v>37</v>
      </c>
      <c r="H386" s="2" t="s">
        <v>15</v>
      </c>
    </row>
    <row r="387" customFormat="false" ht="15" hidden="false" customHeight="false" outlineLevel="0" collapsed="false">
      <c r="A387" s="2" t="s">
        <v>84</v>
      </c>
      <c r="B387" s="2" t="s">
        <v>41</v>
      </c>
      <c r="C387" s="3" t="n">
        <v>200700</v>
      </c>
      <c r="D387" s="3" t="n">
        <v>630100</v>
      </c>
      <c r="E387" s="4" t="n">
        <v>3139</v>
      </c>
      <c r="F387" s="2" t="s">
        <v>42</v>
      </c>
      <c r="G387" s="2" t="s">
        <v>43</v>
      </c>
      <c r="H387" s="2" t="s">
        <v>15</v>
      </c>
    </row>
    <row r="388" customFormat="false" ht="15" hidden="false" customHeight="false" outlineLevel="0" collapsed="false">
      <c r="A388" s="2" t="s">
        <v>85</v>
      </c>
      <c r="B388" s="2" t="s">
        <v>9</v>
      </c>
      <c r="C388" s="3" t="n">
        <v>222980</v>
      </c>
      <c r="D388" s="3" t="n">
        <v>677640</v>
      </c>
      <c r="E388" s="4" t="n">
        <v>3039</v>
      </c>
      <c r="F388" s="2" t="s">
        <v>10</v>
      </c>
      <c r="G388" s="2" t="s">
        <v>11</v>
      </c>
      <c r="H388" s="2" t="s">
        <v>12</v>
      </c>
    </row>
    <row r="389" customFormat="false" ht="15" hidden="false" customHeight="false" outlineLevel="0" collapsed="false">
      <c r="A389" s="2" t="s">
        <v>85</v>
      </c>
      <c r="B389" s="2" t="s">
        <v>13</v>
      </c>
      <c r="C389" s="3" t="n">
        <v>229050</v>
      </c>
      <c r="D389" s="3" t="n">
        <v>657640</v>
      </c>
      <c r="E389" s="4" t="n">
        <v>2871</v>
      </c>
      <c r="F389" s="2" t="s">
        <v>14</v>
      </c>
      <c r="G389" s="2" t="s">
        <v>11</v>
      </c>
      <c r="H389" s="2" t="s">
        <v>15</v>
      </c>
    </row>
    <row r="390" customFormat="false" ht="15" hidden="false" customHeight="false" outlineLevel="0" collapsed="false">
      <c r="A390" s="2" t="s">
        <v>85</v>
      </c>
      <c r="B390" s="2" t="s">
        <v>16</v>
      </c>
      <c r="C390" s="3" t="n">
        <v>220550</v>
      </c>
      <c r="D390" s="3" t="n">
        <v>672300</v>
      </c>
      <c r="E390" s="4" t="n">
        <v>3048</v>
      </c>
      <c r="F390" s="2" t="s">
        <v>17</v>
      </c>
      <c r="G390" s="2" t="s">
        <v>18</v>
      </c>
      <c r="H390" s="2" t="s">
        <v>12</v>
      </c>
    </row>
    <row r="391" customFormat="false" ht="15" hidden="false" customHeight="false" outlineLevel="0" collapsed="false">
      <c r="A391" s="2" t="s">
        <v>85</v>
      </c>
      <c r="B391" s="2" t="s">
        <v>19</v>
      </c>
      <c r="C391" s="3" t="n">
        <v>225410</v>
      </c>
      <c r="D391" s="3" t="n">
        <v>690430</v>
      </c>
      <c r="E391" s="4" t="n">
        <v>3063</v>
      </c>
      <c r="F391" s="2" t="s">
        <v>20</v>
      </c>
      <c r="G391" s="2" t="s">
        <v>18</v>
      </c>
      <c r="H391" s="2" t="s">
        <v>15</v>
      </c>
    </row>
    <row r="392" customFormat="false" ht="15" hidden="false" customHeight="false" outlineLevel="0" collapsed="false">
      <c r="A392" s="2" t="s">
        <v>85</v>
      </c>
      <c r="B392" s="2" t="s">
        <v>21</v>
      </c>
      <c r="C392" s="3" t="n">
        <v>221760</v>
      </c>
      <c r="D392" s="3" t="n">
        <v>712200</v>
      </c>
      <c r="E392" s="4" t="n">
        <v>3212</v>
      </c>
      <c r="F392" s="2" t="s">
        <v>22</v>
      </c>
      <c r="G392" s="2" t="s">
        <v>23</v>
      </c>
      <c r="H392" s="2" t="s">
        <v>12</v>
      </c>
    </row>
    <row r="393" customFormat="false" ht="15" hidden="false" customHeight="false" outlineLevel="0" collapsed="false">
      <c r="A393" s="2" t="s">
        <v>85</v>
      </c>
      <c r="B393" s="2" t="s">
        <v>24</v>
      </c>
      <c r="C393" s="3" t="n">
        <v>218930</v>
      </c>
      <c r="D393" s="3" t="n">
        <v>630210</v>
      </c>
      <c r="E393" s="4" t="n">
        <v>2879</v>
      </c>
      <c r="F393" s="2" t="s">
        <v>25</v>
      </c>
      <c r="G393" s="2" t="s">
        <v>23</v>
      </c>
      <c r="H393" s="2" t="s">
        <v>15</v>
      </c>
    </row>
    <row r="394" customFormat="false" ht="15" hidden="false" customHeight="false" outlineLevel="0" collapsed="false">
      <c r="A394" s="2" t="s">
        <v>85</v>
      </c>
      <c r="B394" s="2" t="s">
        <v>27</v>
      </c>
      <c r="C394" s="3" t="n">
        <v>212460</v>
      </c>
      <c r="D394" s="3" t="n">
        <v>674080</v>
      </c>
      <c r="E394" s="4" t="n">
        <v>3173</v>
      </c>
      <c r="F394" s="2" t="s">
        <v>28</v>
      </c>
      <c r="G394" s="2" t="s">
        <v>29</v>
      </c>
      <c r="H394" s="2" t="s">
        <v>12</v>
      </c>
    </row>
    <row r="395" customFormat="false" ht="15" hidden="false" customHeight="false" outlineLevel="0" collapsed="false">
      <c r="A395" s="2" t="s">
        <v>85</v>
      </c>
      <c r="B395" s="2" t="s">
        <v>30</v>
      </c>
      <c r="C395" s="3" t="n">
        <v>212050</v>
      </c>
      <c r="D395" s="3" t="n">
        <v>685710</v>
      </c>
      <c r="E395" s="4" t="n">
        <v>3234</v>
      </c>
      <c r="F395" s="2" t="s">
        <v>31</v>
      </c>
      <c r="G395" s="2" t="s">
        <v>29</v>
      </c>
      <c r="H395" s="2" t="s">
        <v>15</v>
      </c>
    </row>
    <row r="396" customFormat="false" ht="15" hidden="false" customHeight="false" outlineLevel="0" collapsed="false">
      <c r="A396" s="2" t="s">
        <v>85</v>
      </c>
      <c r="B396" s="2" t="s">
        <v>32</v>
      </c>
      <c r="C396" s="3" t="n">
        <v>211240</v>
      </c>
      <c r="D396" s="3" t="n">
        <v>637690</v>
      </c>
      <c r="E396" s="4" t="n">
        <v>3019</v>
      </c>
      <c r="F396" s="2" t="s">
        <v>33</v>
      </c>
      <c r="G396" s="2" t="s">
        <v>34</v>
      </c>
      <c r="H396" s="2" t="s">
        <v>15</v>
      </c>
    </row>
    <row r="397" customFormat="false" ht="15" hidden="false" customHeight="false" outlineLevel="0" collapsed="false">
      <c r="A397" s="2" t="s">
        <v>85</v>
      </c>
      <c r="B397" s="2" t="s">
        <v>35</v>
      </c>
      <c r="C397" s="3" t="n">
        <v>208410</v>
      </c>
      <c r="D397" s="3" t="n">
        <v>683100</v>
      </c>
      <c r="E397" s="4" t="n">
        <v>3278</v>
      </c>
      <c r="F397" s="2" t="s">
        <v>36</v>
      </c>
      <c r="G397" s="2" t="s">
        <v>37</v>
      </c>
      <c r="H397" s="2" t="s">
        <v>12</v>
      </c>
    </row>
    <row r="398" customFormat="false" ht="15" hidden="false" customHeight="false" outlineLevel="0" collapsed="false">
      <c r="A398" s="2" t="s">
        <v>85</v>
      </c>
      <c r="B398" s="2" t="s">
        <v>39</v>
      </c>
      <c r="C398" s="3" t="n">
        <v>220950</v>
      </c>
      <c r="D398" s="3" t="n">
        <v>669180</v>
      </c>
      <c r="E398" s="4" t="n">
        <v>3029</v>
      </c>
      <c r="F398" s="2" t="s">
        <v>40</v>
      </c>
      <c r="G398" s="2" t="s">
        <v>37</v>
      </c>
      <c r="H398" s="2" t="s">
        <v>15</v>
      </c>
    </row>
    <row r="399" customFormat="false" ht="15" hidden="false" customHeight="false" outlineLevel="0" collapsed="false">
      <c r="A399" s="2" t="s">
        <v>85</v>
      </c>
      <c r="B399" s="2" t="s">
        <v>41</v>
      </c>
      <c r="C399" s="3" t="n">
        <v>228200</v>
      </c>
      <c r="D399" s="3" t="n">
        <v>755500</v>
      </c>
      <c r="E399" s="4" t="n">
        <v>3310</v>
      </c>
      <c r="F399" s="2" t="s">
        <v>42</v>
      </c>
      <c r="G399" s="2" t="s">
        <v>43</v>
      </c>
      <c r="H399" s="2" t="s">
        <v>15</v>
      </c>
    </row>
    <row r="400" customFormat="false" ht="15" hidden="false" customHeight="false" outlineLevel="0" collapsed="false">
      <c r="A400" s="2" t="s">
        <v>86</v>
      </c>
      <c r="B400" s="2" t="s">
        <v>9</v>
      </c>
      <c r="C400" s="3" t="n">
        <v>215690</v>
      </c>
      <c r="D400" s="3" t="n">
        <v>569870</v>
      </c>
      <c r="E400" s="4" t="n">
        <v>2642</v>
      </c>
      <c r="F400" s="2" t="s">
        <v>10</v>
      </c>
      <c r="G400" s="2" t="s">
        <v>11</v>
      </c>
      <c r="H400" s="2" t="s">
        <v>12</v>
      </c>
    </row>
    <row r="401" customFormat="false" ht="15" hidden="false" customHeight="false" outlineLevel="0" collapsed="false">
      <c r="A401" s="2" t="s">
        <v>86</v>
      </c>
      <c r="B401" s="2" t="s">
        <v>13</v>
      </c>
      <c r="C401" s="3" t="n">
        <v>205580</v>
      </c>
      <c r="D401" s="3" t="n">
        <v>597270</v>
      </c>
      <c r="E401" s="4" t="n">
        <v>2905</v>
      </c>
      <c r="F401" s="2" t="s">
        <v>14</v>
      </c>
      <c r="G401" s="2" t="s">
        <v>11</v>
      </c>
      <c r="H401" s="2" t="s">
        <v>15</v>
      </c>
    </row>
    <row r="402" customFormat="false" ht="15" hidden="false" customHeight="false" outlineLevel="0" collapsed="false">
      <c r="A402" s="2" t="s">
        <v>86</v>
      </c>
      <c r="B402" s="2" t="s">
        <v>16</v>
      </c>
      <c r="C402" s="3" t="n">
        <v>203550</v>
      </c>
      <c r="D402" s="3" t="n">
        <v>609600</v>
      </c>
      <c r="E402" s="4" t="n">
        <v>2995</v>
      </c>
      <c r="F402" s="2" t="s">
        <v>17</v>
      </c>
      <c r="G402" s="2" t="s">
        <v>18</v>
      </c>
      <c r="H402" s="2" t="s">
        <v>12</v>
      </c>
    </row>
    <row r="403" customFormat="false" ht="15" hidden="false" customHeight="false" outlineLevel="0" collapsed="false">
      <c r="A403" s="2" t="s">
        <v>86</v>
      </c>
      <c r="B403" s="2" t="s">
        <v>19</v>
      </c>
      <c r="C403" s="3" t="n">
        <v>209630</v>
      </c>
      <c r="D403" s="3" t="n">
        <v>632680</v>
      </c>
      <c r="E403" s="4" t="n">
        <v>3018</v>
      </c>
      <c r="F403" s="2" t="s">
        <v>20</v>
      </c>
      <c r="G403" s="2" t="s">
        <v>18</v>
      </c>
      <c r="H403" s="2" t="s">
        <v>15</v>
      </c>
    </row>
    <row r="404" customFormat="false" ht="15" hidden="false" customHeight="false" outlineLevel="0" collapsed="false">
      <c r="A404" s="2" t="s">
        <v>86</v>
      </c>
      <c r="B404" s="2" t="s">
        <v>21</v>
      </c>
      <c r="C404" s="3" t="n">
        <v>211240</v>
      </c>
      <c r="D404" s="3" t="n">
        <v>361610</v>
      </c>
      <c r="E404" s="4" t="n">
        <v>1712</v>
      </c>
      <c r="F404" s="2" t="s">
        <v>22</v>
      </c>
      <c r="G404" s="2" t="s">
        <v>23</v>
      </c>
      <c r="H404" s="2" t="s">
        <v>12</v>
      </c>
    </row>
    <row r="405" customFormat="false" ht="15" hidden="false" customHeight="false" outlineLevel="0" collapsed="false">
      <c r="A405" s="2" t="s">
        <v>86</v>
      </c>
      <c r="B405" s="2" t="s">
        <v>24</v>
      </c>
      <c r="C405" s="3" t="n">
        <v>205980</v>
      </c>
      <c r="D405" s="3" t="n">
        <v>504400</v>
      </c>
      <c r="E405" s="4" t="n">
        <v>2449</v>
      </c>
      <c r="F405" s="2" t="s">
        <v>25</v>
      </c>
      <c r="G405" s="2" t="s">
        <v>23</v>
      </c>
      <c r="H405" s="2" t="s">
        <v>15</v>
      </c>
    </row>
    <row r="406" customFormat="false" ht="15" hidden="false" customHeight="false" outlineLevel="0" collapsed="false">
      <c r="A406" s="2" t="s">
        <v>86</v>
      </c>
      <c r="B406" s="2" t="s">
        <v>27</v>
      </c>
      <c r="C406" s="3" t="n">
        <v>209220</v>
      </c>
      <c r="D406" s="3" t="n">
        <v>536260</v>
      </c>
      <c r="E406" s="4" t="n">
        <v>2563</v>
      </c>
      <c r="F406" s="2" t="s">
        <v>28</v>
      </c>
      <c r="G406" s="2" t="s">
        <v>29</v>
      </c>
      <c r="H406" s="2" t="s">
        <v>12</v>
      </c>
    </row>
    <row r="407" customFormat="false" ht="15" hidden="false" customHeight="false" outlineLevel="0" collapsed="false">
      <c r="A407" s="2" t="s">
        <v>86</v>
      </c>
      <c r="B407" s="2" t="s">
        <v>30</v>
      </c>
      <c r="C407" s="3" t="n">
        <v>203150</v>
      </c>
      <c r="D407" s="3" t="n">
        <v>554240</v>
      </c>
      <c r="E407" s="4" t="n">
        <v>2728</v>
      </c>
      <c r="F407" s="2" t="s">
        <v>31</v>
      </c>
      <c r="G407" s="2" t="s">
        <v>29</v>
      </c>
      <c r="H407" s="2" t="s">
        <v>15</v>
      </c>
    </row>
    <row r="408" customFormat="false" ht="15" hidden="false" customHeight="false" outlineLevel="0" collapsed="false">
      <c r="A408" s="2" t="s">
        <v>86</v>
      </c>
      <c r="B408" s="2" t="s">
        <v>32</v>
      </c>
      <c r="C408" s="3" t="n">
        <v>185340</v>
      </c>
      <c r="D408" s="3" t="n">
        <v>471470</v>
      </c>
      <c r="E408" s="4" t="n">
        <v>2544</v>
      </c>
      <c r="F408" s="2" t="s">
        <v>33</v>
      </c>
      <c r="G408" s="2" t="s">
        <v>34</v>
      </c>
      <c r="H408" s="2" t="s">
        <v>15</v>
      </c>
    </row>
    <row r="409" customFormat="false" ht="15" hidden="false" customHeight="false" outlineLevel="0" collapsed="false">
      <c r="A409" s="2" t="s">
        <v>86</v>
      </c>
      <c r="B409" s="2" t="s">
        <v>35</v>
      </c>
      <c r="C409" s="3" t="n">
        <v>170770</v>
      </c>
      <c r="D409" s="3" t="n">
        <v>490870</v>
      </c>
      <c r="E409" s="4" t="n">
        <v>2874</v>
      </c>
      <c r="F409" s="2" t="s">
        <v>36</v>
      </c>
      <c r="G409" s="2" t="s">
        <v>37</v>
      </c>
      <c r="H409" s="2" t="s">
        <v>12</v>
      </c>
    </row>
    <row r="410" customFormat="false" ht="15" hidden="false" customHeight="false" outlineLevel="0" collapsed="false">
      <c r="A410" s="2" t="s">
        <v>86</v>
      </c>
      <c r="B410" s="2" t="s">
        <v>39</v>
      </c>
      <c r="C410" s="3" t="n">
        <v>185340</v>
      </c>
      <c r="D410" s="3" t="n">
        <v>462400</v>
      </c>
      <c r="E410" s="4" t="n">
        <v>2495</v>
      </c>
      <c r="F410" s="2" t="s">
        <v>40</v>
      </c>
      <c r="G410" s="2" t="s">
        <v>37</v>
      </c>
      <c r="H410" s="2" t="s">
        <v>15</v>
      </c>
    </row>
    <row r="411" customFormat="false" ht="15" hidden="false" customHeight="false" outlineLevel="0" collapsed="false">
      <c r="A411" s="2" t="s">
        <v>86</v>
      </c>
      <c r="B411" s="2" t="s">
        <v>41</v>
      </c>
      <c r="C411" s="3" t="n">
        <v>190200</v>
      </c>
      <c r="D411" s="3" t="n">
        <v>565100</v>
      </c>
      <c r="E411" s="4" t="n">
        <v>2971</v>
      </c>
      <c r="F411" s="2" t="s">
        <v>42</v>
      </c>
      <c r="G411" s="2" t="s">
        <v>43</v>
      </c>
      <c r="H411" s="2" t="s">
        <v>15</v>
      </c>
    </row>
    <row r="412" customFormat="false" ht="15" hidden="false" customHeight="false" outlineLevel="0" collapsed="false">
      <c r="A412" s="2" t="s">
        <v>87</v>
      </c>
      <c r="B412" s="2" t="s">
        <v>41</v>
      </c>
      <c r="C412" s="3" t="n">
        <v>53400</v>
      </c>
      <c r="D412" s="3" t="n">
        <v>94200</v>
      </c>
      <c r="E412" s="4" t="n">
        <v>1763</v>
      </c>
      <c r="F412" s="2" t="s">
        <v>42</v>
      </c>
      <c r="G412" s="2" t="s">
        <v>43</v>
      </c>
      <c r="H412" s="2" t="s">
        <v>62</v>
      </c>
    </row>
    <row r="413" customFormat="false" ht="15" hidden="false" customHeight="false" outlineLevel="0" collapsed="false">
      <c r="A413" s="2" t="s">
        <v>88</v>
      </c>
      <c r="B413" s="2" t="s">
        <v>9</v>
      </c>
      <c r="C413" s="3" t="n">
        <v>156610</v>
      </c>
      <c r="D413" s="3" t="n">
        <v>538780</v>
      </c>
      <c r="E413" s="4" t="n">
        <v>3440</v>
      </c>
      <c r="F413" s="2" t="s">
        <v>10</v>
      </c>
      <c r="G413" s="2" t="s">
        <v>11</v>
      </c>
      <c r="H413" s="2" t="s">
        <v>12</v>
      </c>
    </row>
    <row r="414" customFormat="false" ht="15" hidden="false" customHeight="false" outlineLevel="0" collapsed="false">
      <c r="A414" s="2" t="s">
        <v>88</v>
      </c>
      <c r="B414" s="2" t="s">
        <v>13</v>
      </c>
      <c r="C414" s="3" t="n">
        <v>152570</v>
      </c>
      <c r="D414" s="3" t="n">
        <v>475750</v>
      </c>
      <c r="E414" s="4" t="n">
        <v>3118</v>
      </c>
      <c r="F414" s="2" t="s">
        <v>14</v>
      </c>
      <c r="G414" s="2" t="s">
        <v>11</v>
      </c>
      <c r="H414" s="2" t="s">
        <v>15</v>
      </c>
    </row>
    <row r="415" customFormat="false" ht="15" hidden="false" customHeight="false" outlineLevel="0" collapsed="false">
      <c r="A415" s="2" t="s">
        <v>88</v>
      </c>
      <c r="B415" s="2" t="s">
        <v>16</v>
      </c>
      <c r="C415" s="3" t="n">
        <v>153780</v>
      </c>
      <c r="D415" s="3" t="n">
        <v>505920</v>
      </c>
      <c r="E415" s="4" t="n">
        <v>3290</v>
      </c>
      <c r="F415" s="2" t="s">
        <v>17</v>
      </c>
      <c r="G415" s="2" t="s">
        <v>18</v>
      </c>
      <c r="H415" s="2" t="s">
        <v>12</v>
      </c>
    </row>
    <row r="416" customFormat="false" ht="15" hidden="false" customHeight="false" outlineLevel="0" collapsed="false">
      <c r="A416" s="2" t="s">
        <v>88</v>
      </c>
      <c r="B416" s="2" t="s">
        <v>19</v>
      </c>
      <c r="C416" s="3" t="n">
        <v>171580</v>
      </c>
      <c r="D416" s="3" t="n">
        <v>568140</v>
      </c>
      <c r="E416" s="4" t="n">
        <v>3311</v>
      </c>
      <c r="F416" s="2" t="s">
        <v>20</v>
      </c>
      <c r="G416" s="2" t="s">
        <v>18</v>
      </c>
      <c r="H416" s="2" t="s">
        <v>15</v>
      </c>
    </row>
    <row r="417" customFormat="false" ht="15" hidden="false" customHeight="false" outlineLevel="0" collapsed="false">
      <c r="A417" s="2" t="s">
        <v>88</v>
      </c>
      <c r="B417" s="2" t="s">
        <v>21</v>
      </c>
      <c r="C417" s="3" t="n">
        <v>167540</v>
      </c>
      <c r="D417" s="3" t="n">
        <v>553660</v>
      </c>
      <c r="E417" s="4" t="n">
        <v>3305</v>
      </c>
      <c r="F417" s="2" t="s">
        <v>22</v>
      </c>
      <c r="G417" s="2" t="s">
        <v>23</v>
      </c>
      <c r="H417" s="2" t="s">
        <v>12</v>
      </c>
    </row>
    <row r="418" customFormat="false" ht="15" hidden="false" customHeight="false" outlineLevel="0" collapsed="false">
      <c r="A418" s="2" t="s">
        <v>88</v>
      </c>
      <c r="B418" s="2" t="s">
        <v>24</v>
      </c>
      <c r="C418" s="3" t="n">
        <v>168750</v>
      </c>
      <c r="D418" s="3" t="n">
        <v>569970</v>
      </c>
      <c r="E418" s="4" t="n">
        <v>3378</v>
      </c>
      <c r="F418" s="2" t="s">
        <v>25</v>
      </c>
      <c r="G418" s="2" t="s">
        <v>23</v>
      </c>
      <c r="H418" s="2" t="s">
        <v>15</v>
      </c>
    </row>
    <row r="419" customFormat="false" ht="15" hidden="false" customHeight="false" outlineLevel="0" collapsed="false">
      <c r="A419" s="2" t="s">
        <v>88</v>
      </c>
      <c r="B419" s="2" t="s">
        <v>27</v>
      </c>
      <c r="C419" s="3" t="n">
        <v>165520</v>
      </c>
      <c r="D419" s="3" t="n">
        <v>582540</v>
      </c>
      <c r="E419" s="4" t="n">
        <v>3520</v>
      </c>
      <c r="F419" s="2" t="s">
        <v>28</v>
      </c>
      <c r="G419" s="2" t="s">
        <v>29</v>
      </c>
      <c r="H419" s="2" t="s">
        <v>12</v>
      </c>
    </row>
    <row r="420" customFormat="false" ht="15" hidden="false" customHeight="false" outlineLevel="0" collapsed="false">
      <c r="A420" s="2" t="s">
        <v>88</v>
      </c>
      <c r="B420" s="2" t="s">
        <v>30</v>
      </c>
      <c r="C420" s="3" t="n">
        <v>163090</v>
      </c>
      <c r="D420" s="3" t="n">
        <v>552030</v>
      </c>
      <c r="E420" s="4" t="n">
        <v>3385</v>
      </c>
      <c r="F420" s="2" t="s">
        <v>31</v>
      </c>
      <c r="G420" s="2" t="s">
        <v>29</v>
      </c>
      <c r="H420" s="2" t="s">
        <v>15</v>
      </c>
    </row>
    <row r="421" customFormat="false" ht="15" hidden="false" customHeight="false" outlineLevel="0" collapsed="false">
      <c r="A421" s="2" t="s">
        <v>88</v>
      </c>
      <c r="B421" s="2" t="s">
        <v>32</v>
      </c>
      <c r="C421" s="3" t="n">
        <v>159040</v>
      </c>
      <c r="D421" s="3" t="n">
        <v>535400</v>
      </c>
      <c r="E421" s="4" t="n">
        <v>3366</v>
      </c>
      <c r="F421" s="2" t="s">
        <v>33</v>
      </c>
      <c r="G421" s="2" t="s">
        <v>34</v>
      </c>
      <c r="H421" s="2" t="s">
        <v>15</v>
      </c>
    </row>
    <row r="422" customFormat="false" ht="15" hidden="false" customHeight="false" outlineLevel="0" collapsed="false">
      <c r="A422" s="2" t="s">
        <v>88</v>
      </c>
      <c r="B422" s="2" t="s">
        <v>35</v>
      </c>
      <c r="C422" s="3" t="n">
        <v>156210</v>
      </c>
      <c r="D422" s="3" t="n">
        <v>541790</v>
      </c>
      <c r="E422" s="4" t="n">
        <v>3468</v>
      </c>
      <c r="F422" s="2" t="s">
        <v>36</v>
      </c>
      <c r="G422" s="2" t="s">
        <v>37</v>
      </c>
      <c r="H422" s="2" t="s">
        <v>12</v>
      </c>
    </row>
    <row r="423" customFormat="false" ht="15" hidden="false" customHeight="false" outlineLevel="0" collapsed="false">
      <c r="A423" s="2" t="s">
        <v>88</v>
      </c>
      <c r="B423" s="2" t="s">
        <v>39</v>
      </c>
      <c r="C423" s="3" t="n">
        <v>135160</v>
      </c>
      <c r="D423" s="3" t="n">
        <v>451300</v>
      </c>
      <c r="E423" s="4" t="n">
        <v>3339</v>
      </c>
      <c r="F423" s="2" t="s">
        <v>40</v>
      </c>
      <c r="G423" s="2" t="s">
        <v>37</v>
      </c>
      <c r="H423" s="2" t="s">
        <v>15</v>
      </c>
    </row>
    <row r="424" customFormat="false" ht="15" hidden="false" customHeight="false" outlineLevel="0" collapsed="false">
      <c r="A424" s="2" t="s">
        <v>88</v>
      </c>
      <c r="B424" s="2" t="s">
        <v>41</v>
      </c>
      <c r="C424" s="3" t="n">
        <v>130300</v>
      </c>
      <c r="D424" s="3" t="n">
        <v>470500</v>
      </c>
      <c r="E424" s="4" t="n">
        <v>3611</v>
      </c>
      <c r="F424" s="2" t="s">
        <v>42</v>
      </c>
      <c r="G424" s="2" t="s">
        <v>43</v>
      </c>
      <c r="H424" s="2" t="s">
        <v>15</v>
      </c>
    </row>
    <row r="425" customFormat="false" ht="15" hidden="false" customHeight="false" outlineLevel="0" collapsed="false">
      <c r="A425" s="2" t="s">
        <v>89</v>
      </c>
      <c r="B425" s="2" t="s">
        <v>9</v>
      </c>
      <c r="C425" s="3" t="n">
        <v>243210</v>
      </c>
      <c r="D425" s="3" t="n">
        <v>767180</v>
      </c>
      <c r="E425" s="4" t="n">
        <v>3154</v>
      </c>
      <c r="F425" s="2" t="s">
        <v>10</v>
      </c>
      <c r="G425" s="2" t="s">
        <v>11</v>
      </c>
      <c r="H425" s="2" t="s">
        <v>12</v>
      </c>
    </row>
    <row r="426" customFormat="false" ht="15" hidden="false" customHeight="false" outlineLevel="0" collapsed="false">
      <c r="A426" s="2" t="s">
        <v>89</v>
      </c>
      <c r="B426" s="2" t="s">
        <v>13</v>
      </c>
      <c r="C426" s="3" t="n">
        <v>235520</v>
      </c>
      <c r="D426" s="3" t="n">
        <v>756170</v>
      </c>
      <c r="E426" s="4" t="n">
        <v>3211</v>
      </c>
      <c r="F426" s="2" t="s">
        <v>14</v>
      </c>
      <c r="G426" s="2" t="s">
        <v>11</v>
      </c>
      <c r="H426" s="2" t="s">
        <v>15</v>
      </c>
    </row>
    <row r="427" customFormat="false" ht="15" hidden="false" customHeight="false" outlineLevel="0" collapsed="false">
      <c r="A427" s="2" t="s">
        <v>89</v>
      </c>
      <c r="B427" s="2" t="s">
        <v>16</v>
      </c>
      <c r="C427" s="3" t="n">
        <v>250900</v>
      </c>
      <c r="D427" s="3" t="n">
        <v>821280</v>
      </c>
      <c r="E427" s="4" t="n">
        <v>3273</v>
      </c>
      <c r="F427" s="2" t="s">
        <v>17</v>
      </c>
      <c r="G427" s="2" t="s">
        <v>18</v>
      </c>
      <c r="H427" s="2" t="s">
        <v>12</v>
      </c>
    </row>
    <row r="428" customFormat="false" ht="15" hidden="false" customHeight="false" outlineLevel="0" collapsed="false">
      <c r="A428" s="2" t="s">
        <v>89</v>
      </c>
      <c r="B428" s="2" t="s">
        <v>19</v>
      </c>
      <c r="C428" s="3" t="n">
        <v>267500</v>
      </c>
      <c r="D428" s="3" t="n">
        <v>884830</v>
      </c>
      <c r="E428" s="4" t="n">
        <v>3307</v>
      </c>
      <c r="F428" s="2" t="s">
        <v>20</v>
      </c>
      <c r="G428" s="2" t="s">
        <v>18</v>
      </c>
      <c r="H428" s="2" t="s">
        <v>15</v>
      </c>
    </row>
    <row r="429" customFormat="false" ht="15" hidden="false" customHeight="false" outlineLevel="0" collapsed="false">
      <c r="A429" s="2" t="s">
        <v>89</v>
      </c>
      <c r="B429" s="2" t="s">
        <v>21</v>
      </c>
      <c r="C429" s="3" t="n">
        <v>273160</v>
      </c>
      <c r="D429" s="3" t="n">
        <v>898670</v>
      </c>
      <c r="E429" s="4" t="n">
        <v>3290</v>
      </c>
      <c r="F429" s="2" t="s">
        <v>22</v>
      </c>
      <c r="G429" s="2" t="s">
        <v>23</v>
      </c>
      <c r="H429" s="2" t="s">
        <v>12</v>
      </c>
    </row>
    <row r="430" customFormat="false" ht="15" hidden="false" customHeight="false" outlineLevel="0" collapsed="false">
      <c r="A430" s="2" t="s">
        <v>89</v>
      </c>
      <c r="B430" s="2" t="s">
        <v>24</v>
      </c>
      <c r="C430" s="3" t="n">
        <v>270730</v>
      </c>
      <c r="D430" s="3" t="n">
        <v>885940</v>
      </c>
      <c r="E430" s="4" t="n">
        <v>3272</v>
      </c>
      <c r="F430" s="2" t="s">
        <v>25</v>
      </c>
      <c r="G430" s="2" t="s">
        <v>23</v>
      </c>
      <c r="H430" s="2" t="s">
        <v>15</v>
      </c>
    </row>
    <row r="431" customFormat="false" ht="15" hidden="false" customHeight="false" outlineLevel="0" collapsed="false">
      <c r="A431" s="2" t="s">
        <v>89</v>
      </c>
      <c r="B431" s="2" t="s">
        <v>27</v>
      </c>
      <c r="C431" s="3" t="n">
        <v>253330</v>
      </c>
      <c r="D431" s="3" t="n">
        <v>852830</v>
      </c>
      <c r="E431" s="4" t="n">
        <v>3366</v>
      </c>
      <c r="F431" s="2" t="s">
        <v>28</v>
      </c>
      <c r="G431" s="2" t="s">
        <v>29</v>
      </c>
      <c r="H431" s="2" t="s">
        <v>12</v>
      </c>
    </row>
    <row r="432" customFormat="false" ht="15" hidden="false" customHeight="false" outlineLevel="0" collapsed="false">
      <c r="A432" s="2" t="s">
        <v>89</v>
      </c>
      <c r="B432" s="2" t="s">
        <v>30</v>
      </c>
      <c r="C432" s="3" t="n">
        <v>244830</v>
      </c>
      <c r="D432" s="3" t="n">
        <v>798480</v>
      </c>
      <c r="E432" s="4" t="n">
        <v>3261</v>
      </c>
      <c r="F432" s="2" t="s">
        <v>31</v>
      </c>
      <c r="G432" s="2" t="s">
        <v>29</v>
      </c>
      <c r="H432" s="2" t="s">
        <v>15</v>
      </c>
    </row>
    <row r="433" customFormat="false" ht="15" hidden="false" customHeight="false" outlineLevel="0" collapsed="false">
      <c r="A433" s="2" t="s">
        <v>89</v>
      </c>
      <c r="B433" s="2" t="s">
        <v>32</v>
      </c>
      <c r="C433" s="3" t="n">
        <v>214480</v>
      </c>
      <c r="D433" s="3" t="n">
        <v>656170</v>
      </c>
      <c r="E433" s="4" t="n">
        <v>3059</v>
      </c>
      <c r="F433" s="2" t="s">
        <v>33</v>
      </c>
      <c r="G433" s="2" t="s">
        <v>34</v>
      </c>
      <c r="H433" s="2" t="s">
        <v>15</v>
      </c>
    </row>
    <row r="434" customFormat="false" ht="15" hidden="false" customHeight="false" outlineLevel="0" collapsed="false">
      <c r="A434" s="2" t="s">
        <v>89</v>
      </c>
      <c r="B434" s="2" t="s">
        <v>35</v>
      </c>
      <c r="C434" s="3" t="n">
        <v>193840</v>
      </c>
      <c r="D434" s="3" t="n">
        <v>676160</v>
      </c>
      <c r="E434" s="4" t="n">
        <v>3488</v>
      </c>
      <c r="F434" s="2" t="s">
        <v>36</v>
      </c>
      <c r="G434" s="2" t="s">
        <v>37</v>
      </c>
      <c r="H434" s="2" t="s">
        <v>12</v>
      </c>
    </row>
    <row r="435" customFormat="false" ht="15" hidden="false" customHeight="false" outlineLevel="0" collapsed="false">
      <c r="A435" s="2" t="s">
        <v>89</v>
      </c>
      <c r="B435" s="2" t="s">
        <v>39</v>
      </c>
      <c r="C435" s="3" t="n">
        <v>180490</v>
      </c>
      <c r="D435" s="3" t="n">
        <v>629040</v>
      </c>
      <c r="E435" s="4" t="n">
        <v>3485</v>
      </c>
      <c r="F435" s="2" t="s">
        <v>40</v>
      </c>
      <c r="G435" s="2" t="s">
        <v>37</v>
      </c>
      <c r="H435" s="2" t="s">
        <v>15</v>
      </c>
    </row>
    <row r="436" customFormat="false" ht="15" hidden="false" customHeight="false" outlineLevel="0" collapsed="false">
      <c r="A436" s="2" t="s">
        <v>89</v>
      </c>
      <c r="B436" s="2" t="s">
        <v>41</v>
      </c>
      <c r="C436" s="3" t="n">
        <v>159900</v>
      </c>
      <c r="D436" s="3" t="n">
        <v>594200</v>
      </c>
      <c r="E436" s="4" t="n">
        <v>3718</v>
      </c>
      <c r="F436" s="2" t="s">
        <v>42</v>
      </c>
      <c r="G436" s="2" t="s">
        <v>43</v>
      </c>
      <c r="H436" s="2" t="s">
        <v>15</v>
      </c>
    </row>
    <row r="437" customFormat="false" ht="15" hidden="false" customHeight="false" outlineLevel="0" collapsed="false">
      <c r="A437" s="2" t="s">
        <v>90</v>
      </c>
      <c r="B437" s="2" t="s">
        <v>41</v>
      </c>
      <c r="C437" s="3" t="n">
        <v>73700</v>
      </c>
      <c r="D437" s="3" t="n">
        <v>235000</v>
      </c>
      <c r="E437" s="4" t="n">
        <v>3191</v>
      </c>
      <c r="F437" s="2" t="s">
        <v>42</v>
      </c>
      <c r="G437" s="2" t="s">
        <v>43</v>
      </c>
      <c r="H437" s="2" t="s">
        <v>62</v>
      </c>
    </row>
  </sheetData>
  <autoFilter ref="A1:H43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0"/>
    <col collapsed="false" customWidth="true" hidden="false" outlineLevel="0" max="3" min="3" style="0" width="14"/>
    <col collapsed="false" customWidth="true" hidden="false" outlineLevel="0" max="4" min="4" style="0" width="18"/>
    <col collapsed="false" customWidth="true" hidden="false" outlineLevel="0" max="5" min="5" style="0" width="14"/>
    <col collapsed="false" customWidth="true" hidden="false" outlineLevel="0" max="6" min="6" style="0" width="60"/>
    <col collapsed="false" customWidth="true" hidden="false" outlineLevel="0" max="7" min="7" style="0" width="70"/>
    <col collapsed="false" customWidth="true" hidden="false" outlineLevel="0" max="8" min="8" style="0" width="46"/>
    <col collapsed="false" customWidth="true" hidden="false" outlineLevel="0" max="9" min="9" style="0" width="18"/>
    <col collapsed="false" customWidth="true" hidden="false" outlineLevel="0" max="10" min="10" style="0" width="90"/>
  </cols>
  <sheetData>
    <row r="1" customFormat="false" ht="31.5" hidden="false" customHeight="true" outlineLevel="0" collapsed="false">
      <c r="A1" s="1" t="s">
        <v>0</v>
      </c>
      <c r="B1" s="1" t="s">
        <v>1</v>
      </c>
      <c r="C1" s="1" t="s">
        <v>91</v>
      </c>
      <c r="D1" s="1" t="s">
        <v>92</v>
      </c>
      <c r="E1" s="1" t="s">
        <v>93</v>
      </c>
      <c r="F1" s="1" t="s">
        <v>94</v>
      </c>
      <c r="G1" s="1" t="s">
        <v>6</v>
      </c>
      <c r="H1" s="1" t="s">
        <v>95</v>
      </c>
      <c r="I1" s="1" t="s">
        <v>96</v>
      </c>
      <c r="J1" s="1" t="s">
        <v>97</v>
      </c>
    </row>
    <row r="2" customFormat="false" ht="35.05" hidden="false" customHeight="false" outlineLevel="0" collapsed="false">
      <c r="A2" s="2" t="str">
        <f aca="false">Wheat_Yield_Data!A2</f>
        <v>Attock</v>
      </c>
      <c r="B2" s="2" t="str">
        <f aca="false">Wheat_Yield_Data!B2</f>
        <v>2010-11</v>
      </c>
      <c r="C2" s="3" t="n">
        <f aca="false">Wheat_Yield_Data!C2</f>
        <v>155800</v>
      </c>
      <c r="D2" s="3" t="n">
        <f aca="false">Wheat_Yield_Data!D2</f>
        <v>252650</v>
      </c>
      <c r="E2" s="4" t="n">
        <f aca="false">Wheat_Yield_Data!E2</f>
        <v>1621</v>
      </c>
      <c r="F2" s="6" t="s">
        <v>98</v>
      </c>
      <c r="G2" s="2" t="s">
        <v>11</v>
      </c>
      <c r="H2" s="6" t="s">
        <v>99</v>
      </c>
      <c r="I2" s="2" t="s">
        <v>100</v>
      </c>
      <c r="J2" s="6" t="s">
        <v>101</v>
      </c>
    </row>
    <row r="3" customFormat="false" ht="35.05" hidden="false" customHeight="false" outlineLevel="0" collapsed="false">
      <c r="A3" s="2" t="str">
        <f aca="false">Wheat_Yield_Data!A3</f>
        <v>Attock</v>
      </c>
      <c r="B3" s="2" t="str">
        <f aca="false">Wheat_Yield_Data!B3</f>
        <v>2011-12</v>
      </c>
      <c r="C3" s="3" t="n">
        <f aca="false">Wheat_Yield_Data!C3</f>
        <v>155390</v>
      </c>
      <c r="D3" s="3" t="n">
        <f aca="false">Wheat_Yield_Data!D3</f>
        <v>167110</v>
      </c>
      <c r="E3" s="4" t="n">
        <f aca="false">Wheat_Yield_Data!E3</f>
        <v>1075</v>
      </c>
      <c r="F3" s="6" t="s">
        <v>102</v>
      </c>
      <c r="G3" s="2" t="s">
        <v>11</v>
      </c>
      <c r="H3" s="6" t="s">
        <v>99</v>
      </c>
      <c r="I3" s="2" t="s">
        <v>100</v>
      </c>
      <c r="J3" s="6" t="s">
        <v>103</v>
      </c>
    </row>
    <row r="4" customFormat="false" ht="46.25" hidden="false" customHeight="false" outlineLevel="0" collapsed="false">
      <c r="A4" s="2" t="str">
        <f aca="false">Wheat_Yield_Data!A4</f>
        <v>Attock</v>
      </c>
      <c r="B4" s="2" t="str">
        <f aca="false">Wheat_Yield_Data!B4</f>
        <v>2012-13</v>
      </c>
      <c r="C4" s="3" t="n">
        <f aca="false">Wheat_Yield_Data!C4</f>
        <v>155800</v>
      </c>
      <c r="D4" s="3" t="n">
        <f aca="false">Wheat_Yield_Data!D4</f>
        <v>164470</v>
      </c>
      <c r="E4" s="4" t="n">
        <f aca="false">Wheat_Yield_Data!E4</f>
        <v>1056</v>
      </c>
      <c r="F4" s="6" t="s">
        <v>104</v>
      </c>
      <c r="G4" s="2" t="s">
        <v>18</v>
      </c>
      <c r="H4" s="6" t="s">
        <v>99</v>
      </c>
      <c r="I4" s="2" t="s">
        <v>100</v>
      </c>
      <c r="J4" s="6" t="s">
        <v>105</v>
      </c>
    </row>
    <row r="5" customFormat="false" ht="35.05" hidden="false" customHeight="false" outlineLevel="0" collapsed="false">
      <c r="A5" s="2" t="str">
        <f aca="false">Wheat_Yield_Data!A5</f>
        <v>Attock</v>
      </c>
      <c r="B5" s="2" t="str">
        <f aca="false">Wheat_Yield_Data!B5</f>
        <v>2013-14</v>
      </c>
      <c r="C5" s="3" t="n">
        <f aca="false">Wheat_Yield_Data!C5</f>
        <v>159040</v>
      </c>
      <c r="D5" s="3" t="n">
        <f aca="false">Wheat_Yield_Data!D5</f>
        <v>218330</v>
      </c>
      <c r="E5" s="4" t="n">
        <f aca="false">Wheat_Yield_Data!E5</f>
        <v>1372</v>
      </c>
      <c r="F5" s="6" t="s">
        <v>106</v>
      </c>
      <c r="G5" s="2" t="s">
        <v>18</v>
      </c>
      <c r="H5" s="6" t="s">
        <v>99</v>
      </c>
      <c r="I5" s="2" t="s">
        <v>100</v>
      </c>
      <c r="J5" s="6" t="s">
        <v>107</v>
      </c>
    </row>
    <row r="6" customFormat="false" ht="35.05" hidden="false" customHeight="false" outlineLevel="0" collapsed="false">
      <c r="A6" s="2" t="str">
        <f aca="false">Wheat_Yield_Data!A6</f>
        <v>Attock</v>
      </c>
      <c r="B6" s="2" t="str">
        <f aca="false">Wheat_Yield_Data!B6</f>
        <v>2014-15</v>
      </c>
      <c r="C6" s="3" t="n">
        <f aca="false">Wheat_Yield_Data!C6</f>
        <v>173610</v>
      </c>
      <c r="D6" s="3" t="n">
        <f aca="false">Wheat_Yield_Data!D6</f>
        <v>300940</v>
      </c>
      <c r="E6" s="4" t="n">
        <f aca="false">Wheat_Yield_Data!E6</f>
        <v>1733</v>
      </c>
      <c r="F6" s="6" t="s">
        <v>108</v>
      </c>
      <c r="G6" s="2" t="s">
        <v>23</v>
      </c>
      <c r="H6" s="6" t="s">
        <v>99</v>
      </c>
      <c r="I6" s="2" t="s">
        <v>100</v>
      </c>
      <c r="J6" s="6" t="s">
        <v>109</v>
      </c>
    </row>
    <row r="7" customFormat="false" ht="46.25" hidden="false" customHeight="false" outlineLevel="0" collapsed="false">
      <c r="A7" s="2" t="str">
        <f aca="false">Wheat_Yield_Data!A7</f>
        <v>Attock</v>
      </c>
      <c r="B7" s="2" t="str">
        <f aca="false">Wheat_Yield_Data!B7</f>
        <v>2015-16</v>
      </c>
      <c r="C7" s="3" t="n">
        <f aca="false">Wheat_Yield_Data!C7</f>
        <v>187770</v>
      </c>
      <c r="D7" s="3" t="n">
        <f aca="false">Wheat_Yield_Data!D7</f>
        <v>335230</v>
      </c>
      <c r="E7" s="5" t="n">
        <f aca="false">Wheat_Yield_Data!E7</f>
        <v>1785.32246897801</v>
      </c>
      <c r="F7" s="6" t="s">
        <v>110</v>
      </c>
      <c r="G7" s="2" t="s">
        <v>23</v>
      </c>
      <c r="H7" s="6" t="s">
        <v>99</v>
      </c>
      <c r="I7" s="2" t="s">
        <v>111</v>
      </c>
      <c r="J7" s="6" t="s">
        <v>112</v>
      </c>
    </row>
    <row r="8" customFormat="false" ht="46.25" hidden="false" customHeight="false" outlineLevel="0" collapsed="false">
      <c r="A8" s="2" t="str">
        <f aca="false">Wheat_Yield_Data!A8</f>
        <v>Attock</v>
      </c>
      <c r="B8" s="2" t="str">
        <f aca="false">Wheat_Yield_Data!B8</f>
        <v>2016-17</v>
      </c>
      <c r="C8" s="3" t="n">
        <f aca="false">Wheat_Yield_Data!C8</f>
        <v>151350</v>
      </c>
      <c r="D8" s="3" t="n">
        <f aca="false">Wheat_Yield_Data!D8</f>
        <v>205030</v>
      </c>
      <c r="E8" s="4" t="n">
        <f aca="false">Wheat_Yield_Data!E8</f>
        <v>1355</v>
      </c>
      <c r="F8" s="6" t="s">
        <v>113</v>
      </c>
      <c r="G8" s="2" t="s">
        <v>29</v>
      </c>
      <c r="H8" s="6" t="s">
        <v>114</v>
      </c>
      <c r="I8" s="2" t="s">
        <v>100</v>
      </c>
      <c r="J8" s="6" t="s">
        <v>115</v>
      </c>
    </row>
    <row r="9" customFormat="false" ht="46.25" hidden="false" customHeight="false" outlineLevel="0" collapsed="false">
      <c r="A9" s="2" t="str">
        <f aca="false">Wheat_Yield_Data!A9</f>
        <v>Attock</v>
      </c>
      <c r="B9" s="2" t="str">
        <f aca="false">Wheat_Yield_Data!B9</f>
        <v>2017-18</v>
      </c>
      <c r="C9" s="3" t="n">
        <f aca="false">Wheat_Yield_Data!C9</f>
        <v>151350</v>
      </c>
      <c r="D9" s="3" t="n">
        <f aca="false">Wheat_Yield_Data!D9</f>
        <v>223130</v>
      </c>
      <c r="E9" s="4" t="n">
        <f aca="false">Wheat_Yield_Data!E9</f>
        <v>1474</v>
      </c>
      <c r="F9" s="6" t="s">
        <v>116</v>
      </c>
      <c r="G9" s="2" t="s">
        <v>29</v>
      </c>
      <c r="H9" s="6" t="s">
        <v>114</v>
      </c>
      <c r="I9" s="2" t="s">
        <v>100</v>
      </c>
      <c r="J9" s="6" t="s">
        <v>117</v>
      </c>
    </row>
    <row r="10" customFormat="false" ht="46.25" hidden="false" customHeight="false" outlineLevel="0" collapsed="false">
      <c r="A10" s="2" t="str">
        <f aca="false">Wheat_Yield_Data!A10</f>
        <v>Attock</v>
      </c>
      <c r="B10" s="2" t="str">
        <f aca="false">Wheat_Yield_Data!B10</f>
        <v>2018-19</v>
      </c>
      <c r="C10" s="3" t="n">
        <f aca="false">Wheat_Yield_Data!C10</f>
        <v>151350</v>
      </c>
      <c r="D10" s="3" t="n">
        <f aca="false">Wheat_Yield_Data!D10</f>
        <v>286930</v>
      </c>
      <c r="E10" s="4" t="n">
        <f aca="false">Wheat_Yield_Data!E10</f>
        <v>1895</v>
      </c>
      <c r="F10" s="6" t="s">
        <v>118</v>
      </c>
      <c r="G10" s="2" t="s">
        <v>34</v>
      </c>
      <c r="H10" s="6" t="s">
        <v>114</v>
      </c>
      <c r="I10" s="2" t="s">
        <v>100</v>
      </c>
      <c r="J10" s="6" t="s">
        <v>119</v>
      </c>
    </row>
    <row r="11" customFormat="false" ht="46.25" hidden="false" customHeight="false" outlineLevel="0" collapsed="false">
      <c r="A11" s="2" t="str">
        <f aca="false">Wheat_Yield_Data!A11</f>
        <v>Attock</v>
      </c>
      <c r="B11" s="2" t="str">
        <f aca="false">Wheat_Yield_Data!B11</f>
        <v>2020-21</v>
      </c>
      <c r="C11" s="3" t="n">
        <f aca="false">Wheat_Yield_Data!C11</f>
        <v>203150</v>
      </c>
      <c r="D11" s="3" t="n">
        <f aca="false">Wheat_Yield_Data!D11</f>
        <v>359000</v>
      </c>
      <c r="E11" s="4" t="n">
        <f aca="false">Wheat_Yield_Data!E11</f>
        <v>1767</v>
      </c>
      <c r="F11" s="6" t="s">
        <v>120</v>
      </c>
      <c r="G11" s="2" t="s">
        <v>37</v>
      </c>
      <c r="H11" s="6" t="s">
        <v>121</v>
      </c>
      <c r="I11" s="2" t="s">
        <v>100</v>
      </c>
      <c r="J11" s="6" t="s">
        <v>122</v>
      </c>
    </row>
    <row r="12" customFormat="false" ht="35.05" hidden="false" customHeight="false" outlineLevel="0" collapsed="false">
      <c r="A12" s="2" t="str">
        <f aca="false">Wheat_Yield_Data!A12</f>
        <v>Attock</v>
      </c>
      <c r="B12" s="2" t="str">
        <f aca="false">Wheat_Yield_Data!B12</f>
        <v>2021-22</v>
      </c>
      <c r="C12" s="3" t="n">
        <f aca="false">Wheat_Yield_Data!C12</f>
        <v>182920</v>
      </c>
      <c r="D12" s="3" t="n">
        <f aca="false">Wheat_Yield_Data!D12</f>
        <v>310340</v>
      </c>
      <c r="E12" s="4" t="n">
        <f aca="false">Wheat_Yield_Data!E12</f>
        <v>1697</v>
      </c>
      <c r="F12" s="6" t="s">
        <v>123</v>
      </c>
      <c r="G12" s="2" t="s">
        <v>37</v>
      </c>
      <c r="H12" s="6" t="s">
        <v>121</v>
      </c>
      <c r="I12" s="2" t="s">
        <v>100</v>
      </c>
      <c r="J12" s="6" t="s">
        <v>124</v>
      </c>
    </row>
    <row r="13" customFormat="false" ht="23.85" hidden="false" customHeight="false" outlineLevel="0" collapsed="false">
      <c r="A13" s="2" t="str">
        <f aca="false">Wheat_Yield_Data!A13</f>
        <v>Attock</v>
      </c>
      <c r="B13" s="2" t="str">
        <f aca="false">Wheat_Yield_Data!B13</f>
        <v>2022-23</v>
      </c>
      <c r="C13" s="3" t="n">
        <f aca="false">Wheat_Yield_Data!C13</f>
        <v>190200</v>
      </c>
      <c r="D13" s="3" t="n">
        <f aca="false">Wheat_Yield_Data!D13</f>
        <v>348200</v>
      </c>
      <c r="E13" s="4" t="n">
        <f aca="false">Wheat_Yield_Data!E13</f>
        <v>1831</v>
      </c>
      <c r="F13" s="6" t="s">
        <v>125</v>
      </c>
      <c r="G13" s="2" t="s">
        <v>43</v>
      </c>
      <c r="H13" s="6" t="s">
        <v>126</v>
      </c>
      <c r="I13" s="2" t="s">
        <v>100</v>
      </c>
      <c r="J13" s="6" t="s">
        <v>127</v>
      </c>
    </row>
    <row r="14" customFormat="false" ht="35.05" hidden="false" customHeight="false" outlineLevel="0" collapsed="false">
      <c r="A14" s="2" t="str">
        <f aca="false">Wheat_Yield_Data!A14</f>
        <v>Bahawalnagar</v>
      </c>
      <c r="B14" s="2" t="str">
        <f aca="false">Wheat_Yield_Data!B14</f>
        <v>2010-11</v>
      </c>
      <c r="C14" s="3" t="n">
        <f aca="false">Wheat_Yield_Data!C14</f>
        <v>344780</v>
      </c>
      <c r="D14" s="3" t="n">
        <f aca="false">Wheat_Yield_Data!D14</f>
        <v>1076710</v>
      </c>
      <c r="E14" s="4" t="n">
        <f aca="false">Wheat_Yield_Data!E14</f>
        <v>3123</v>
      </c>
      <c r="F14" s="6" t="s">
        <v>98</v>
      </c>
      <c r="G14" s="2" t="s">
        <v>11</v>
      </c>
      <c r="H14" s="6" t="s">
        <v>99</v>
      </c>
      <c r="I14" s="2" t="s">
        <v>100</v>
      </c>
      <c r="J14" s="6" t="s">
        <v>128</v>
      </c>
    </row>
    <row r="15" customFormat="false" ht="35.05" hidden="false" customHeight="false" outlineLevel="0" collapsed="false">
      <c r="A15" s="2" t="str">
        <f aca="false">Wheat_Yield_Data!A15</f>
        <v>Bahawalnagar</v>
      </c>
      <c r="B15" s="2" t="str">
        <f aca="false">Wheat_Yield_Data!B15</f>
        <v>2011-12</v>
      </c>
      <c r="C15" s="3" t="n">
        <f aca="false">Wheat_Yield_Data!C15</f>
        <v>336290</v>
      </c>
      <c r="D15" s="3" t="n">
        <f aca="false">Wheat_Yield_Data!D15</f>
        <v>989160</v>
      </c>
      <c r="E15" s="4" t="n">
        <f aca="false">Wheat_Yield_Data!E15</f>
        <v>2941</v>
      </c>
      <c r="F15" s="6" t="s">
        <v>102</v>
      </c>
      <c r="G15" s="2" t="s">
        <v>11</v>
      </c>
      <c r="H15" s="6" t="s">
        <v>99</v>
      </c>
      <c r="I15" s="2" t="s">
        <v>100</v>
      </c>
      <c r="J15" s="6" t="s">
        <v>129</v>
      </c>
    </row>
    <row r="16" customFormat="false" ht="46.25" hidden="false" customHeight="false" outlineLevel="0" collapsed="false">
      <c r="A16" s="2" t="str">
        <f aca="false">Wheat_Yield_Data!A16</f>
        <v>Bahawalnagar</v>
      </c>
      <c r="B16" s="2" t="str">
        <f aca="false">Wheat_Yield_Data!B16</f>
        <v>2012-13</v>
      </c>
      <c r="C16" s="3" t="n">
        <f aca="false">Wheat_Yield_Data!C16</f>
        <v>335890</v>
      </c>
      <c r="D16" s="3" t="n">
        <f aca="false">Wheat_Yield_Data!D16</f>
        <v>1002070</v>
      </c>
      <c r="E16" s="4" t="n">
        <f aca="false">Wheat_Yield_Data!E16</f>
        <v>2984</v>
      </c>
      <c r="F16" s="6" t="s">
        <v>104</v>
      </c>
      <c r="G16" s="2" t="s">
        <v>18</v>
      </c>
      <c r="H16" s="6" t="s">
        <v>99</v>
      </c>
      <c r="I16" s="2" t="s">
        <v>100</v>
      </c>
      <c r="J16" s="6" t="s">
        <v>130</v>
      </c>
    </row>
    <row r="17" customFormat="false" ht="35.05" hidden="false" customHeight="false" outlineLevel="0" collapsed="false">
      <c r="A17" s="2" t="str">
        <f aca="false">Wheat_Yield_Data!A17</f>
        <v>Bahawalnagar</v>
      </c>
      <c r="B17" s="2" t="str">
        <f aca="false">Wheat_Yield_Data!B17</f>
        <v>2013-14</v>
      </c>
      <c r="C17" s="3" t="n">
        <f aca="false">Wheat_Yield_Data!C17</f>
        <v>358950</v>
      </c>
      <c r="D17" s="3" t="n">
        <f aca="false">Wheat_Yield_Data!D17</f>
        <v>1089550</v>
      </c>
      <c r="E17" s="4" t="n">
        <f aca="false">Wheat_Yield_Data!E17</f>
        <v>3035</v>
      </c>
      <c r="F17" s="6" t="s">
        <v>106</v>
      </c>
      <c r="G17" s="2" t="s">
        <v>18</v>
      </c>
      <c r="H17" s="6" t="s">
        <v>99</v>
      </c>
      <c r="I17" s="2" t="s">
        <v>100</v>
      </c>
      <c r="J17" s="6" t="s">
        <v>131</v>
      </c>
    </row>
    <row r="18" customFormat="false" ht="35.05" hidden="false" customHeight="false" outlineLevel="0" collapsed="false">
      <c r="A18" s="2" t="str">
        <f aca="false">Wheat_Yield_Data!A18</f>
        <v>Bahawalnagar</v>
      </c>
      <c r="B18" s="2" t="str">
        <f aca="false">Wheat_Yield_Data!B18</f>
        <v>2014-15</v>
      </c>
      <c r="C18" s="3" t="n">
        <f aca="false">Wheat_Yield_Data!C18</f>
        <v>369060</v>
      </c>
      <c r="D18" s="3" t="n">
        <f aca="false">Wheat_Yield_Data!D18</f>
        <v>1161200</v>
      </c>
      <c r="E18" s="4" t="n">
        <f aca="false">Wheat_Yield_Data!E18</f>
        <v>3146</v>
      </c>
      <c r="F18" s="6" t="s">
        <v>108</v>
      </c>
      <c r="G18" s="2" t="s">
        <v>23</v>
      </c>
      <c r="H18" s="6" t="s">
        <v>99</v>
      </c>
      <c r="I18" s="2" t="s">
        <v>100</v>
      </c>
      <c r="J18" s="6" t="s">
        <v>132</v>
      </c>
    </row>
    <row r="19" customFormat="false" ht="46.25" hidden="false" customHeight="false" outlineLevel="0" collapsed="false">
      <c r="A19" s="2" t="str">
        <f aca="false">Wheat_Yield_Data!A19</f>
        <v>Bahawalnagar</v>
      </c>
      <c r="B19" s="2" t="str">
        <f aca="false">Wheat_Yield_Data!B19</f>
        <v>2015-16</v>
      </c>
      <c r="C19" s="3" t="n">
        <f aca="false">Wheat_Yield_Data!C19</f>
        <v>371090</v>
      </c>
      <c r="D19" s="3" t="n">
        <f aca="false">Wheat_Yield_Data!D19</f>
        <v>1132480</v>
      </c>
      <c r="E19" s="5" t="n">
        <f aca="false">Wheat_Yield_Data!E19</f>
        <v>3051.76641785012</v>
      </c>
      <c r="F19" s="6" t="s">
        <v>110</v>
      </c>
      <c r="G19" s="2" t="s">
        <v>23</v>
      </c>
      <c r="H19" s="6" t="s">
        <v>99</v>
      </c>
      <c r="I19" s="2" t="s">
        <v>111</v>
      </c>
      <c r="J19" s="6" t="s">
        <v>133</v>
      </c>
    </row>
    <row r="20" customFormat="false" ht="46.25" hidden="false" customHeight="false" outlineLevel="0" collapsed="false">
      <c r="A20" s="2" t="str">
        <f aca="false">Wheat_Yield_Data!A20</f>
        <v>Bahawalnagar</v>
      </c>
      <c r="B20" s="2" t="str">
        <f aca="false">Wheat_Yield_Data!B20</f>
        <v>2016-17</v>
      </c>
      <c r="C20" s="3" t="n">
        <f aca="false">Wheat_Yield_Data!C20</f>
        <v>372710</v>
      </c>
      <c r="D20" s="3" t="n">
        <f aca="false">Wheat_Yield_Data!D20</f>
        <v>1218430</v>
      </c>
      <c r="E20" s="4" t="n">
        <f aca="false">Wheat_Yield_Data!E20</f>
        <v>3269</v>
      </c>
      <c r="F20" s="6" t="s">
        <v>113</v>
      </c>
      <c r="G20" s="2" t="s">
        <v>29</v>
      </c>
      <c r="H20" s="6" t="s">
        <v>114</v>
      </c>
      <c r="I20" s="2" t="s">
        <v>100</v>
      </c>
      <c r="J20" s="6" t="s">
        <v>134</v>
      </c>
    </row>
    <row r="21" customFormat="false" ht="46.25" hidden="false" customHeight="false" outlineLevel="0" collapsed="false">
      <c r="A21" s="2" t="str">
        <f aca="false">Wheat_Yield_Data!A21</f>
        <v>Bahawalnagar</v>
      </c>
      <c r="B21" s="2" t="str">
        <f aca="false">Wheat_Yield_Data!B21</f>
        <v>2017-18</v>
      </c>
      <c r="C21" s="3" t="n">
        <f aca="false">Wheat_Yield_Data!C21</f>
        <v>369070</v>
      </c>
      <c r="D21" s="3" t="n">
        <f aca="false">Wheat_Yield_Data!D21</f>
        <v>1132710</v>
      </c>
      <c r="E21" s="4" t="n">
        <f aca="false">Wheat_Yield_Data!E21</f>
        <v>3069</v>
      </c>
      <c r="F21" s="6" t="s">
        <v>116</v>
      </c>
      <c r="G21" s="2" t="s">
        <v>29</v>
      </c>
      <c r="H21" s="6" t="s">
        <v>114</v>
      </c>
      <c r="I21" s="2" t="s">
        <v>100</v>
      </c>
      <c r="J21" s="6" t="s">
        <v>135</v>
      </c>
    </row>
    <row r="22" customFormat="false" ht="46.25" hidden="false" customHeight="false" outlineLevel="0" collapsed="false">
      <c r="A22" s="2" t="str">
        <f aca="false">Wheat_Yield_Data!A22</f>
        <v>Bahawalnagar</v>
      </c>
      <c r="B22" s="2" t="str">
        <f aca="false">Wheat_Yield_Data!B22</f>
        <v>2018-19</v>
      </c>
      <c r="C22" s="3" t="n">
        <f aca="false">Wheat_Yield_Data!C22</f>
        <v>356920</v>
      </c>
      <c r="D22" s="3" t="n">
        <f aca="false">Wheat_Yield_Data!D22</f>
        <v>1158390</v>
      </c>
      <c r="E22" s="4" t="n">
        <f aca="false">Wheat_Yield_Data!E22</f>
        <v>3246</v>
      </c>
      <c r="F22" s="6" t="s">
        <v>118</v>
      </c>
      <c r="G22" s="2" t="s">
        <v>34</v>
      </c>
      <c r="H22" s="6" t="s">
        <v>114</v>
      </c>
      <c r="I22" s="2" t="s">
        <v>100</v>
      </c>
      <c r="J22" s="6" t="s">
        <v>136</v>
      </c>
    </row>
    <row r="23" customFormat="false" ht="35.05" hidden="false" customHeight="false" outlineLevel="0" collapsed="false">
      <c r="A23" s="2" t="str">
        <f aca="false">Wheat_Yield_Data!A23</f>
        <v>Bahawalnagar</v>
      </c>
      <c r="B23" s="2" t="str">
        <f aca="false">Wheat_Yield_Data!B23</f>
        <v>2020-21</v>
      </c>
      <c r="C23" s="3" t="n">
        <f aca="false">Wheat_Yield_Data!C23</f>
        <v>426930</v>
      </c>
      <c r="D23" s="3" t="n">
        <f aca="false">Wheat_Yield_Data!D23</f>
        <v>1587150</v>
      </c>
      <c r="E23" s="4" t="n">
        <f aca="false">Wheat_Yield_Data!E23</f>
        <v>3718</v>
      </c>
      <c r="F23" s="6" t="s">
        <v>120</v>
      </c>
      <c r="G23" s="2" t="s">
        <v>37</v>
      </c>
      <c r="H23" s="6" t="s">
        <v>121</v>
      </c>
      <c r="I23" s="2" t="s">
        <v>100</v>
      </c>
      <c r="J23" s="6" t="s">
        <v>137</v>
      </c>
    </row>
    <row r="24" customFormat="false" ht="35.05" hidden="false" customHeight="false" outlineLevel="0" collapsed="false">
      <c r="A24" s="2" t="str">
        <f aca="false">Wheat_Yield_Data!A24</f>
        <v>Bahawalnagar</v>
      </c>
      <c r="B24" s="2" t="str">
        <f aca="false">Wheat_Yield_Data!B24</f>
        <v>2021-22</v>
      </c>
      <c r="C24" s="3" t="n">
        <f aca="false">Wheat_Yield_Data!C24</f>
        <v>424910</v>
      </c>
      <c r="D24" s="3" t="n">
        <f aca="false">Wheat_Yield_Data!D24</f>
        <v>1513890</v>
      </c>
      <c r="E24" s="4" t="n">
        <f aca="false">Wheat_Yield_Data!E24</f>
        <v>3562</v>
      </c>
      <c r="F24" s="6" t="s">
        <v>123</v>
      </c>
      <c r="G24" s="2" t="s">
        <v>37</v>
      </c>
      <c r="H24" s="6" t="s">
        <v>121</v>
      </c>
      <c r="I24" s="2" t="s">
        <v>100</v>
      </c>
      <c r="J24" s="6" t="s">
        <v>138</v>
      </c>
    </row>
    <row r="25" customFormat="false" ht="23.85" hidden="false" customHeight="false" outlineLevel="0" collapsed="false">
      <c r="A25" s="2" t="str">
        <f aca="false">Wheat_Yield_Data!A25</f>
        <v>Bahawalnagar</v>
      </c>
      <c r="B25" s="2" t="str">
        <f aca="false">Wheat_Yield_Data!B25</f>
        <v>2022-23</v>
      </c>
      <c r="C25" s="3" t="n">
        <f aca="false">Wheat_Yield_Data!C25</f>
        <v>423300</v>
      </c>
      <c r="D25" s="3" t="n">
        <f aca="false">Wheat_Yield_Data!D25</f>
        <v>1563000</v>
      </c>
      <c r="E25" s="4" t="n">
        <f aca="false">Wheat_Yield_Data!E25</f>
        <v>3693</v>
      </c>
      <c r="F25" s="6" t="s">
        <v>125</v>
      </c>
      <c r="G25" s="2" t="s">
        <v>43</v>
      </c>
      <c r="H25" s="6" t="s">
        <v>126</v>
      </c>
      <c r="I25" s="2" t="s">
        <v>100</v>
      </c>
      <c r="J25" s="6" t="s">
        <v>139</v>
      </c>
    </row>
    <row r="26" customFormat="false" ht="35.05" hidden="false" customHeight="false" outlineLevel="0" collapsed="false">
      <c r="A26" s="2" t="str">
        <f aca="false">Wheat_Yield_Data!A26</f>
        <v>Bahawalpur</v>
      </c>
      <c r="B26" s="2" t="str">
        <f aca="false">Wheat_Yield_Data!B26</f>
        <v>2010-11</v>
      </c>
      <c r="C26" s="3" t="n">
        <f aca="false">Wheat_Yield_Data!C26</f>
        <v>280440</v>
      </c>
      <c r="D26" s="3" t="n">
        <f aca="false">Wheat_Yield_Data!D26</f>
        <v>881900</v>
      </c>
      <c r="E26" s="4" t="n">
        <f aca="false">Wheat_Yield_Data!E26</f>
        <v>3145</v>
      </c>
      <c r="F26" s="6" t="s">
        <v>98</v>
      </c>
      <c r="G26" s="2" t="s">
        <v>11</v>
      </c>
      <c r="H26" s="6" t="s">
        <v>99</v>
      </c>
      <c r="I26" s="2" t="s">
        <v>100</v>
      </c>
      <c r="J26" s="6" t="s">
        <v>140</v>
      </c>
    </row>
    <row r="27" customFormat="false" ht="35.05" hidden="false" customHeight="false" outlineLevel="0" collapsed="false">
      <c r="A27" s="2" t="str">
        <f aca="false">Wheat_Yield_Data!A27</f>
        <v>Bahawalpur</v>
      </c>
      <c r="B27" s="2" t="str">
        <f aca="false">Wheat_Yield_Data!B27</f>
        <v>2011-12</v>
      </c>
      <c r="C27" s="3" t="n">
        <f aca="false">Wheat_Yield_Data!C27</f>
        <v>262230</v>
      </c>
      <c r="D27" s="3" t="n">
        <f aca="false">Wheat_Yield_Data!D27</f>
        <v>836770</v>
      </c>
      <c r="E27" s="4" t="n">
        <f aca="false">Wheat_Yield_Data!E27</f>
        <v>3191</v>
      </c>
      <c r="F27" s="6" t="s">
        <v>102</v>
      </c>
      <c r="G27" s="2" t="s">
        <v>11</v>
      </c>
      <c r="H27" s="6" t="s">
        <v>99</v>
      </c>
      <c r="I27" s="2" t="s">
        <v>100</v>
      </c>
      <c r="J27" s="6" t="s">
        <v>141</v>
      </c>
    </row>
    <row r="28" customFormat="false" ht="46.25" hidden="false" customHeight="false" outlineLevel="0" collapsed="false">
      <c r="A28" s="2" t="str">
        <f aca="false">Wheat_Yield_Data!A28</f>
        <v>Bahawalpur</v>
      </c>
      <c r="B28" s="2" t="str">
        <f aca="false">Wheat_Yield_Data!B28</f>
        <v>2012-13</v>
      </c>
      <c r="C28" s="3" t="n">
        <f aca="false">Wheat_Yield_Data!C28</f>
        <v>265460</v>
      </c>
      <c r="D28" s="3" t="n">
        <f aca="false">Wheat_Yield_Data!D28</f>
        <v>796160</v>
      </c>
      <c r="E28" s="4" t="n">
        <f aca="false">Wheat_Yield_Data!E28</f>
        <v>2999</v>
      </c>
      <c r="F28" s="6" t="s">
        <v>104</v>
      </c>
      <c r="G28" s="2" t="s">
        <v>18</v>
      </c>
      <c r="H28" s="6" t="s">
        <v>99</v>
      </c>
      <c r="I28" s="2" t="s">
        <v>100</v>
      </c>
      <c r="J28" s="6" t="s">
        <v>142</v>
      </c>
    </row>
    <row r="29" customFormat="false" ht="35.05" hidden="false" customHeight="false" outlineLevel="0" collapsed="false">
      <c r="A29" s="2" t="str">
        <f aca="false">Wheat_Yield_Data!A29</f>
        <v>Bahawalpur</v>
      </c>
      <c r="B29" s="2" t="str">
        <f aca="false">Wheat_Yield_Data!B29</f>
        <v>2013-14</v>
      </c>
      <c r="C29" s="3" t="n">
        <f aca="false">Wheat_Yield_Data!C29</f>
        <v>291370</v>
      </c>
      <c r="D29" s="3" t="n">
        <f aca="false">Wheat_Yield_Data!D29</f>
        <v>881300</v>
      </c>
      <c r="E29" s="4" t="n">
        <f aca="false">Wheat_Yield_Data!E29</f>
        <v>3024</v>
      </c>
      <c r="F29" s="6" t="s">
        <v>106</v>
      </c>
      <c r="G29" s="2" t="s">
        <v>18</v>
      </c>
      <c r="H29" s="6" t="s">
        <v>99</v>
      </c>
      <c r="I29" s="2" t="s">
        <v>100</v>
      </c>
      <c r="J29" s="6" t="s">
        <v>143</v>
      </c>
    </row>
    <row r="30" customFormat="false" ht="35.05" hidden="false" customHeight="false" outlineLevel="0" collapsed="false">
      <c r="A30" s="2" t="str">
        <f aca="false">Wheat_Yield_Data!A30</f>
        <v>Bahawalpur</v>
      </c>
      <c r="B30" s="2" t="str">
        <f aca="false">Wheat_Yield_Data!B30</f>
        <v>2014-15</v>
      </c>
      <c r="C30" s="3" t="n">
        <f aca="false">Wheat_Yield_Data!C30</f>
        <v>297040</v>
      </c>
      <c r="D30" s="3" t="n">
        <f aca="false">Wheat_Yield_Data!D30</f>
        <v>905110</v>
      </c>
      <c r="E30" s="4" t="n">
        <f aca="false">Wheat_Yield_Data!E30</f>
        <v>3047</v>
      </c>
      <c r="F30" s="6" t="s">
        <v>108</v>
      </c>
      <c r="G30" s="2" t="s">
        <v>23</v>
      </c>
      <c r="H30" s="6" t="s">
        <v>99</v>
      </c>
      <c r="I30" s="2" t="s">
        <v>100</v>
      </c>
      <c r="J30" s="6" t="s">
        <v>144</v>
      </c>
    </row>
    <row r="31" customFormat="false" ht="46.25" hidden="false" customHeight="false" outlineLevel="0" collapsed="false">
      <c r="A31" s="2" t="str">
        <f aca="false">Wheat_Yield_Data!A31</f>
        <v>Bahawalpur</v>
      </c>
      <c r="B31" s="2" t="str">
        <f aca="false">Wheat_Yield_Data!B31</f>
        <v>2015-16</v>
      </c>
      <c r="C31" s="3" t="n">
        <f aca="false">Wheat_Yield_Data!C31</f>
        <v>300270</v>
      </c>
      <c r="D31" s="3" t="n">
        <f aca="false">Wheat_Yield_Data!D31</f>
        <v>969030</v>
      </c>
      <c r="E31" s="5" t="n">
        <f aca="false">Wheat_Yield_Data!E31</f>
        <v>3227.19552402837</v>
      </c>
      <c r="F31" s="6" t="s">
        <v>110</v>
      </c>
      <c r="G31" s="2" t="s">
        <v>23</v>
      </c>
      <c r="H31" s="6" t="s">
        <v>99</v>
      </c>
      <c r="I31" s="2" t="s">
        <v>111</v>
      </c>
      <c r="J31" s="6" t="s">
        <v>145</v>
      </c>
    </row>
    <row r="32" customFormat="false" ht="46.25" hidden="false" customHeight="false" outlineLevel="0" collapsed="false">
      <c r="A32" s="2" t="str">
        <f aca="false">Wheat_Yield_Data!A32</f>
        <v>Bahawalpur</v>
      </c>
      <c r="B32" s="2" t="str">
        <f aca="false">Wheat_Yield_Data!B32</f>
        <v>2016-17</v>
      </c>
      <c r="C32" s="3" t="n">
        <f aca="false">Wheat_Yield_Data!C32</f>
        <v>289350</v>
      </c>
      <c r="D32" s="3" t="n">
        <f aca="false">Wheat_Yield_Data!D32</f>
        <v>984490</v>
      </c>
      <c r="E32" s="4" t="n">
        <f aca="false">Wheat_Yield_Data!E32</f>
        <v>3402</v>
      </c>
      <c r="F32" s="6" t="s">
        <v>113</v>
      </c>
      <c r="G32" s="2" t="s">
        <v>29</v>
      </c>
      <c r="H32" s="6" t="s">
        <v>114</v>
      </c>
      <c r="I32" s="2" t="s">
        <v>100</v>
      </c>
      <c r="J32" s="6" t="s">
        <v>146</v>
      </c>
    </row>
    <row r="33" customFormat="false" ht="46.25" hidden="false" customHeight="false" outlineLevel="0" collapsed="false">
      <c r="A33" s="2" t="str">
        <f aca="false">Wheat_Yield_Data!A33</f>
        <v>Bahawalpur</v>
      </c>
      <c r="B33" s="2" t="str">
        <f aca="false">Wheat_Yield_Data!B33</f>
        <v>2017-18</v>
      </c>
      <c r="C33" s="3" t="n">
        <f aca="false">Wheat_Yield_Data!C33</f>
        <v>286110</v>
      </c>
      <c r="D33" s="3" t="n">
        <f aca="false">Wheat_Yield_Data!D33</f>
        <v>921880</v>
      </c>
      <c r="E33" s="4" t="n">
        <f aca="false">Wheat_Yield_Data!E33</f>
        <v>3222</v>
      </c>
      <c r="F33" s="6" t="s">
        <v>116</v>
      </c>
      <c r="G33" s="2" t="s">
        <v>29</v>
      </c>
      <c r="H33" s="6" t="s">
        <v>114</v>
      </c>
      <c r="I33" s="2" t="s">
        <v>100</v>
      </c>
      <c r="J33" s="6" t="s">
        <v>147</v>
      </c>
    </row>
    <row r="34" customFormat="false" ht="46.25" hidden="false" customHeight="false" outlineLevel="0" collapsed="false">
      <c r="A34" s="2" t="str">
        <f aca="false">Wheat_Yield_Data!A34</f>
        <v>Bahawalpur</v>
      </c>
      <c r="B34" s="2" t="str">
        <f aca="false">Wheat_Yield_Data!B34</f>
        <v>2018-19</v>
      </c>
      <c r="C34" s="3" t="n">
        <f aca="false">Wheat_Yield_Data!C34</f>
        <v>285300</v>
      </c>
      <c r="D34" s="3" t="n">
        <f aca="false">Wheat_Yield_Data!D34</f>
        <v>860460</v>
      </c>
      <c r="E34" s="4" t="n">
        <f aca="false">Wheat_Yield_Data!E34</f>
        <v>3016</v>
      </c>
      <c r="F34" s="6" t="s">
        <v>118</v>
      </c>
      <c r="G34" s="2" t="s">
        <v>34</v>
      </c>
      <c r="H34" s="6" t="s">
        <v>114</v>
      </c>
      <c r="I34" s="2" t="s">
        <v>100</v>
      </c>
      <c r="J34" s="6" t="s">
        <v>148</v>
      </c>
    </row>
    <row r="35" customFormat="false" ht="35.05" hidden="false" customHeight="false" outlineLevel="0" collapsed="false">
      <c r="A35" s="2" t="str">
        <f aca="false">Wheat_Yield_Data!A35</f>
        <v>Bahawalpur</v>
      </c>
      <c r="B35" s="2" t="str">
        <f aca="false">Wheat_Yield_Data!B35</f>
        <v>2020-21</v>
      </c>
      <c r="C35" s="3" t="n">
        <f aca="false">Wheat_Yield_Data!C35</f>
        <v>301080</v>
      </c>
      <c r="D35" s="3" t="n">
        <f aca="false">Wheat_Yield_Data!D35</f>
        <v>1002910</v>
      </c>
      <c r="E35" s="4" t="n">
        <f aca="false">Wheat_Yield_Data!E35</f>
        <v>3331</v>
      </c>
      <c r="F35" s="6" t="s">
        <v>120</v>
      </c>
      <c r="G35" s="2" t="s">
        <v>37</v>
      </c>
      <c r="H35" s="6" t="s">
        <v>121</v>
      </c>
      <c r="I35" s="2" t="s">
        <v>100</v>
      </c>
      <c r="J35" s="6" t="s">
        <v>149</v>
      </c>
    </row>
    <row r="36" customFormat="false" ht="35.05" hidden="false" customHeight="false" outlineLevel="0" collapsed="false">
      <c r="A36" s="2" t="str">
        <f aca="false">Wheat_Yield_Data!A36</f>
        <v>Bahawalpur</v>
      </c>
      <c r="B36" s="2" t="str">
        <f aca="false">Wheat_Yield_Data!B36</f>
        <v>2021-22</v>
      </c>
      <c r="C36" s="3" t="n">
        <f aca="false">Wheat_Yield_Data!C36</f>
        <v>295820</v>
      </c>
      <c r="D36" s="3" t="n">
        <f aca="false">Wheat_Yield_Data!D36</f>
        <v>1052060</v>
      </c>
      <c r="E36" s="4" t="n">
        <f aca="false">Wheat_Yield_Data!E36</f>
        <v>3556</v>
      </c>
      <c r="F36" s="6" t="s">
        <v>123</v>
      </c>
      <c r="G36" s="2" t="s">
        <v>37</v>
      </c>
      <c r="H36" s="6" t="s">
        <v>121</v>
      </c>
      <c r="I36" s="2" t="s">
        <v>100</v>
      </c>
      <c r="J36" s="6" t="s">
        <v>150</v>
      </c>
    </row>
    <row r="37" customFormat="false" ht="23.85" hidden="false" customHeight="false" outlineLevel="0" collapsed="false">
      <c r="A37" s="2" t="str">
        <f aca="false">Wheat_Yield_Data!A37</f>
        <v>Bahawalpur</v>
      </c>
      <c r="B37" s="2" t="str">
        <f aca="false">Wheat_Yield_Data!B37</f>
        <v>2022-23</v>
      </c>
      <c r="C37" s="3" t="n">
        <f aca="false">Wheat_Yield_Data!C37</f>
        <v>287700</v>
      </c>
      <c r="D37" s="3" t="n">
        <f aca="false">Wheat_Yield_Data!D37</f>
        <v>1073600</v>
      </c>
      <c r="E37" s="4" t="n">
        <f aca="false">Wheat_Yield_Data!E37</f>
        <v>3731</v>
      </c>
      <c r="F37" s="6" t="s">
        <v>125</v>
      </c>
      <c r="G37" s="2" t="s">
        <v>43</v>
      </c>
      <c r="H37" s="6" t="s">
        <v>126</v>
      </c>
      <c r="I37" s="2" t="s">
        <v>100</v>
      </c>
      <c r="J37" s="6" t="s">
        <v>151</v>
      </c>
    </row>
    <row r="38" customFormat="false" ht="35.05" hidden="false" customHeight="false" outlineLevel="0" collapsed="false">
      <c r="A38" s="2" t="str">
        <f aca="false">Wheat_Yield_Data!A38</f>
        <v>Bhakkar</v>
      </c>
      <c r="B38" s="2" t="str">
        <f aca="false">Wheat_Yield_Data!B38</f>
        <v>2010-11</v>
      </c>
      <c r="C38" s="3" t="n">
        <f aca="false">Wheat_Yield_Data!C38</f>
        <v>181700</v>
      </c>
      <c r="D38" s="3" t="n">
        <f aca="false">Wheat_Yield_Data!D38</f>
        <v>444420</v>
      </c>
      <c r="E38" s="4" t="n">
        <f aca="false">Wheat_Yield_Data!E38</f>
        <v>2446</v>
      </c>
      <c r="F38" s="6" t="s">
        <v>98</v>
      </c>
      <c r="G38" s="2" t="s">
        <v>11</v>
      </c>
      <c r="H38" s="6" t="s">
        <v>99</v>
      </c>
      <c r="I38" s="2" t="s">
        <v>100</v>
      </c>
      <c r="J38" s="6" t="s">
        <v>152</v>
      </c>
    </row>
    <row r="39" customFormat="false" ht="35.05" hidden="false" customHeight="false" outlineLevel="0" collapsed="false">
      <c r="A39" s="2" t="str">
        <f aca="false">Wheat_Yield_Data!A39</f>
        <v>Bhakkar</v>
      </c>
      <c r="B39" s="2" t="str">
        <f aca="false">Wheat_Yield_Data!B39</f>
        <v>2011-12</v>
      </c>
      <c r="C39" s="3" t="n">
        <f aca="false">Wheat_Yield_Data!C39</f>
        <v>173610</v>
      </c>
      <c r="D39" s="3" t="n">
        <f aca="false">Wheat_Yield_Data!D39</f>
        <v>387760</v>
      </c>
      <c r="E39" s="4" t="n">
        <f aca="false">Wheat_Yield_Data!E39</f>
        <v>2234</v>
      </c>
      <c r="F39" s="6" t="s">
        <v>102</v>
      </c>
      <c r="G39" s="2" t="s">
        <v>11</v>
      </c>
      <c r="H39" s="6" t="s">
        <v>99</v>
      </c>
      <c r="I39" s="2" t="s">
        <v>100</v>
      </c>
      <c r="J39" s="6" t="s">
        <v>153</v>
      </c>
    </row>
    <row r="40" customFormat="false" ht="46.25" hidden="false" customHeight="false" outlineLevel="0" collapsed="false">
      <c r="A40" s="2" t="str">
        <f aca="false">Wheat_Yield_Data!A40</f>
        <v>Bhakkar</v>
      </c>
      <c r="B40" s="2" t="str">
        <f aca="false">Wheat_Yield_Data!B40</f>
        <v>2012-13</v>
      </c>
      <c r="C40" s="3" t="n">
        <f aca="false">Wheat_Yield_Data!C40</f>
        <v>167940</v>
      </c>
      <c r="D40" s="3" t="n">
        <f aca="false">Wheat_Yield_Data!D40</f>
        <v>409350</v>
      </c>
      <c r="E40" s="4" t="n">
        <f aca="false">Wheat_Yield_Data!E40</f>
        <v>2438</v>
      </c>
      <c r="F40" s="6" t="s">
        <v>104</v>
      </c>
      <c r="G40" s="2" t="s">
        <v>18</v>
      </c>
      <c r="H40" s="6" t="s">
        <v>99</v>
      </c>
      <c r="I40" s="2" t="s">
        <v>100</v>
      </c>
      <c r="J40" s="6" t="s">
        <v>154</v>
      </c>
    </row>
    <row r="41" customFormat="false" ht="35.05" hidden="false" customHeight="false" outlineLevel="0" collapsed="false">
      <c r="A41" s="2" t="str">
        <f aca="false">Wheat_Yield_Data!A41</f>
        <v>Bhakkar</v>
      </c>
      <c r="B41" s="2" t="str">
        <f aca="false">Wheat_Yield_Data!B41</f>
        <v>2013-14</v>
      </c>
      <c r="C41" s="3" t="n">
        <f aca="false">Wheat_Yield_Data!C41</f>
        <v>173210</v>
      </c>
      <c r="D41" s="3" t="n">
        <f aca="false">Wheat_Yield_Data!D41</f>
        <v>436120</v>
      </c>
      <c r="E41" s="4" t="n">
        <f aca="false">Wheat_Yield_Data!E41</f>
        <v>2518</v>
      </c>
      <c r="F41" s="6" t="s">
        <v>106</v>
      </c>
      <c r="G41" s="2" t="s">
        <v>18</v>
      </c>
      <c r="H41" s="6" t="s">
        <v>99</v>
      </c>
      <c r="I41" s="2" t="s">
        <v>100</v>
      </c>
      <c r="J41" s="6" t="s">
        <v>155</v>
      </c>
    </row>
    <row r="42" customFormat="false" ht="35.05" hidden="false" customHeight="false" outlineLevel="0" collapsed="false">
      <c r="A42" s="2" t="str">
        <f aca="false">Wheat_Yield_Data!A42</f>
        <v>Bhakkar</v>
      </c>
      <c r="B42" s="2" t="str">
        <f aca="false">Wheat_Yield_Data!B42</f>
        <v>2014-15</v>
      </c>
      <c r="C42" s="3" t="n">
        <f aca="false">Wheat_Yield_Data!C42</f>
        <v>184940</v>
      </c>
      <c r="D42" s="3" t="n">
        <f aca="false">Wheat_Yield_Data!D42</f>
        <v>411700</v>
      </c>
      <c r="E42" s="4" t="n">
        <f aca="false">Wheat_Yield_Data!E42</f>
        <v>2226</v>
      </c>
      <c r="F42" s="6" t="s">
        <v>108</v>
      </c>
      <c r="G42" s="2" t="s">
        <v>23</v>
      </c>
      <c r="H42" s="6" t="s">
        <v>99</v>
      </c>
      <c r="I42" s="2" t="s">
        <v>100</v>
      </c>
      <c r="J42" s="6" t="s">
        <v>156</v>
      </c>
    </row>
    <row r="43" customFormat="false" ht="46.25" hidden="false" customHeight="false" outlineLevel="0" collapsed="false">
      <c r="A43" s="2" t="str">
        <f aca="false">Wheat_Yield_Data!A43</f>
        <v>Bhakkar</v>
      </c>
      <c r="B43" s="2" t="str">
        <f aca="false">Wheat_Yield_Data!B43</f>
        <v>2015-16</v>
      </c>
      <c r="C43" s="3" t="n">
        <f aca="false">Wheat_Yield_Data!C43</f>
        <v>180490</v>
      </c>
      <c r="D43" s="3" t="n">
        <f aca="false">Wheat_Yield_Data!D43</f>
        <v>411680</v>
      </c>
      <c r="E43" s="5" t="n">
        <f aca="false">Wheat_Yield_Data!E43</f>
        <v>2280.90198902986</v>
      </c>
      <c r="F43" s="6" t="s">
        <v>110</v>
      </c>
      <c r="G43" s="2" t="s">
        <v>23</v>
      </c>
      <c r="H43" s="6" t="s">
        <v>99</v>
      </c>
      <c r="I43" s="2" t="s">
        <v>111</v>
      </c>
      <c r="J43" s="6" t="s">
        <v>157</v>
      </c>
    </row>
    <row r="44" customFormat="false" ht="46.25" hidden="false" customHeight="false" outlineLevel="0" collapsed="false">
      <c r="A44" s="2" t="str">
        <f aca="false">Wheat_Yield_Data!A44</f>
        <v>Bhakkar</v>
      </c>
      <c r="B44" s="2" t="str">
        <f aca="false">Wheat_Yield_Data!B44</f>
        <v>2016-17</v>
      </c>
      <c r="C44" s="3" t="n">
        <f aca="false">Wheat_Yield_Data!C44</f>
        <v>169150</v>
      </c>
      <c r="D44" s="3" t="n">
        <f aca="false">Wheat_Yield_Data!D44</f>
        <v>519390</v>
      </c>
      <c r="E44" s="4" t="n">
        <f aca="false">Wheat_Yield_Data!E44</f>
        <v>3070</v>
      </c>
      <c r="F44" s="6" t="s">
        <v>113</v>
      </c>
      <c r="G44" s="2" t="s">
        <v>29</v>
      </c>
      <c r="H44" s="6" t="s">
        <v>114</v>
      </c>
      <c r="I44" s="2" t="s">
        <v>100</v>
      </c>
      <c r="J44" s="6" t="s">
        <v>158</v>
      </c>
    </row>
    <row r="45" customFormat="false" ht="46.25" hidden="false" customHeight="false" outlineLevel="0" collapsed="false">
      <c r="A45" s="2" t="str">
        <f aca="false">Wheat_Yield_Data!A45</f>
        <v>Bhakkar</v>
      </c>
      <c r="B45" s="2" t="str">
        <f aca="false">Wheat_Yield_Data!B45</f>
        <v>2017-18</v>
      </c>
      <c r="C45" s="3" t="n">
        <f aca="false">Wheat_Yield_Data!C45</f>
        <v>162280</v>
      </c>
      <c r="D45" s="3" t="n">
        <f aca="false">Wheat_Yield_Data!D45</f>
        <v>378200</v>
      </c>
      <c r="E45" s="4" t="n">
        <f aca="false">Wheat_Yield_Data!E45</f>
        <v>2331</v>
      </c>
      <c r="F45" s="6" t="s">
        <v>116</v>
      </c>
      <c r="G45" s="2" t="s">
        <v>29</v>
      </c>
      <c r="H45" s="6" t="s">
        <v>114</v>
      </c>
      <c r="I45" s="2" t="s">
        <v>100</v>
      </c>
      <c r="J45" s="6" t="s">
        <v>159</v>
      </c>
    </row>
    <row r="46" customFormat="false" ht="46.25" hidden="false" customHeight="false" outlineLevel="0" collapsed="false">
      <c r="A46" s="2" t="str">
        <f aca="false">Wheat_Yield_Data!A46</f>
        <v>Bhakkar</v>
      </c>
      <c r="B46" s="2" t="str">
        <f aca="false">Wheat_Yield_Data!B46</f>
        <v>2018-19</v>
      </c>
      <c r="C46" s="3" t="n">
        <f aca="false">Wheat_Yield_Data!C46</f>
        <v>150540</v>
      </c>
      <c r="D46" s="3" t="n">
        <f aca="false">Wheat_Yield_Data!D46</f>
        <v>331380</v>
      </c>
      <c r="E46" s="4" t="n">
        <f aca="false">Wheat_Yield_Data!E46</f>
        <v>2202</v>
      </c>
      <c r="F46" s="6" t="s">
        <v>118</v>
      </c>
      <c r="G46" s="2" t="s">
        <v>34</v>
      </c>
      <c r="H46" s="6" t="s">
        <v>114</v>
      </c>
      <c r="I46" s="2" t="s">
        <v>100</v>
      </c>
      <c r="J46" s="6" t="s">
        <v>160</v>
      </c>
    </row>
    <row r="47" customFormat="false" ht="35.05" hidden="false" customHeight="false" outlineLevel="0" collapsed="false">
      <c r="A47" s="2" t="str">
        <f aca="false">Wheat_Yield_Data!A47</f>
        <v>Bhakkar</v>
      </c>
      <c r="B47" s="2" t="str">
        <f aca="false">Wheat_Yield_Data!B47</f>
        <v>2020-21</v>
      </c>
      <c r="C47" s="3" t="n">
        <f aca="false">Wheat_Yield_Data!C47</f>
        <v>188580</v>
      </c>
      <c r="D47" s="3" t="n">
        <f aca="false">Wheat_Yield_Data!D47</f>
        <v>525740</v>
      </c>
      <c r="E47" s="4" t="n">
        <f aca="false">Wheat_Yield_Data!E47</f>
        <v>2787</v>
      </c>
      <c r="F47" s="6" t="s">
        <v>120</v>
      </c>
      <c r="G47" s="2" t="s">
        <v>37</v>
      </c>
      <c r="H47" s="6" t="s">
        <v>121</v>
      </c>
      <c r="I47" s="2" t="s">
        <v>100</v>
      </c>
      <c r="J47" s="6" t="s">
        <v>161</v>
      </c>
    </row>
    <row r="48" customFormat="false" ht="35.05" hidden="false" customHeight="false" outlineLevel="0" collapsed="false">
      <c r="A48" s="2" t="str">
        <f aca="false">Wheat_Yield_Data!A48</f>
        <v>Bhakkar</v>
      </c>
      <c r="B48" s="2" t="str">
        <f aca="false">Wheat_Yield_Data!B48</f>
        <v>2021-22</v>
      </c>
      <c r="C48" s="3" t="n">
        <f aca="false">Wheat_Yield_Data!C48</f>
        <v>180080</v>
      </c>
      <c r="D48" s="3" t="n">
        <f aca="false">Wheat_Yield_Data!D48</f>
        <v>475430</v>
      </c>
      <c r="E48" s="4" t="n">
        <f aca="false">Wheat_Yield_Data!E48</f>
        <v>2640</v>
      </c>
      <c r="F48" s="6" t="s">
        <v>123</v>
      </c>
      <c r="G48" s="2" t="s">
        <v>37</v>
      </c>
      <c r="H48" s="6" t="s">
        <v>121</v>
      </c>
      <c r="I48" s="2" t="s">
        <v>100</v>
      </c>
      <c r="J48" s="6" t="s">
        <v>162</v>
      </c>
    </row>
    <row r="49" customFormat="false" ht="23.85" hidden="false" customHeight="false" outlineLevel="0" collapsed="false">
      <c r="A49" s="2" t="str">
        <f aca="false">Wheat_Yield_Data!A49</f>
        <v>Bhakkar</v>
      </c>
      <c r="B49" s="2" t="str">
        <f aca="false">Wheat_Yield_Data!B49</f>
        <v>2022-23</v>
      </c>
      <c r="C49" s="3" t="n">
        <f aca="false">Wheat_Yield_Data!C49</f>
        <v>163100</v>
      </c>
      <c r="D49" s="3" t="n">
        <f aca="false">Wheat_Yield_Data!D49</f>
        <v>471700</v>
      </c>
      <c r="E49" s="4" t="n">
        <f aca="false">Wheat_Yield_Data!E49</f>
        <v>2892</v>
      </c>
      <c r="F49" s="6" t="s">
        <v>125</v>
      </c>
      <c r="G49" s="2" t="s">
        <v>43</v>
      </c>
      <c r="H49" s="6" t="s">
        <v>126</v>
      </c>
      <c r="I49" s="2" t="s">
        <v>100</v>
      </c>
      <c r="J49" s="6" t="s">
        <v>163</v>
      </c>
    </row>
    <row r="50" customFormat="false" ht="35.05" hidden="false" customHeight="false" outlineLevel="0" collapsed="false">
      <c r="A50" s="2" t="str">
        <f aca="false">Wheat_Yield_Data!A50</f>
        <v>Chakwal</v>
      </c>
      <c r="B50" s="2" t="str">
        <f aca="false">Wheat_Yield_Data!B50</f>
        <v>2010-11</v>
      </c>
      <c r="C50" s="3" t="n">
        <f aca="false">Wheat_Yield_Data!C50</f>
        <v>126260</v>
      </c>
      <c r="D50" s="3" t="n">
        <f aca="false">Wheat_Yield_Data!D50</f>
        <v>165930</v>
      </c>
      <c r="E50" s="4" t="n">
        <f aca="false">Wheat_Yield_Data!E50</f>
        <v>1314</v>
      </c>
      <c r="F50" s="6" t="s">
        <v>98</v>
      </c>
      <c r="G50" s="2" t="s">
        <v>11</v>
      </c>
      <c r="H50" s="6" t="s">
        <v>99</v>
      </c>
      <c r="I50" s="2" t="s">
        <v>100</v>
      </c>
      <c r="J50" s="6" t="s">
        <v>164</v>
      </c>
    </row>
    <row r="51" customFormat="false" ht="35.05" hidden="false" customHeight="false" outlineLevel="0" collapsed="false">
      <c r="A51" s="2" t="str">
        <f aca="false">Wheat_Yield_Data!A51</f>
        <v>Chakwal</v>
      </c>
      <c r="B51" s="2" t="str">
        <f aca="false">Wheat_Yield_Data!B51</f>
        <v>2011-12</v>
      </c>
      <c r="C51" s="3" t="n">
        <f aca="false">Wheat_Yield_Data!C51</f>
        <v>121810</v>
      </c>
      <c r="D51" s="3" t="n">
        <f aca="false">Wheat_Yield_Data!D51</f>
        <v>112910</v>
      </c>
      <c r="E51" s="4" t="n">
        <f aca="false">Wheat_Yield_Data!E51</f>
        <v>927</v>
      </c>
      <c r="F51" s="6" t="s">
        <v>102</v>
      </c>
      <c r="G51" s="2" t="s">
        <v>11</v>
      </c>
      <c r="H51" s="6" t="s">
        <v>99</v>
      </c>
      <c r="I51" s="2" t="s">
        <v>100</v>
      </c>
      <c r="J51" s="6" t="s">
        <v>165</v>
      </c>
    </row>
    <row r="52" customFormat="false" ht="46.25" hidden="false" customHeight="false" outlineLevel="0" collapsed="false">
      <c r="A52" s="2" t="str">
        <f aca="false">Wheat_Yield_Data!A52</f>
        <v>Chakwal</v>
      </c>
      <c r="B52" s="2" t="str">
        <f aca="false">Wheat_Yield_Data!B52</f>
        <v>2012-13</v>
      </c>
      <c r="C52" s="3" t="n">
        <f aca="false">Wheat_Yield_Data!C52</f>
        <v>117760</v>
      </c>
      <c r="D52" s="3" t="n">
        <f aca="false">Wheat_Yield_Data!D52</f>
        <v>191450</v>
      </c>
      <c r="E52" s="4" t="n">
        <f aca="false">Wheat_Yield_Data!E52</f>
        <v>1626</v>
      </c>
      <c r="F52" s="6" t="s">
        <v>104</v>
      </c>
      <c r="G52" s="2" t="s">
        <v>18</v>
      </c>
      <c r="H52" s="6" t="s">
        <v>99</v>
      </c>
      <c r="I52" s="2" t="s">
        <v>100</v>
      </c>
      <c r="J52" s="6" t="s">
        <v>166</v>
      </c>
    </row>
    <row r="53" customFormat="false" ht="35.05" hidden="false" customHeight="false" outlineLevel="0" collapsed="false">
      <c r="A53" s="2" t="str">
        <f aca="false">Wheat_Yield_Data!A53</f>
        <v>Chakwal</v>
      </c>
      <c r="B53" s="2" t="str">
        <f aca="false">Wheat_Yield_Data!B53</f>
        <v>2013-14</v>
      </c>
      <c r="C53" s="3" t="n">
        <f aca="false">Wheat_Yield_Data!C53</f>
        <v>120190</v>
      </c>
      <c r="D53" s="3" t="n">
        <f aca="false">Wheat_Yield_Data!D53</f>
        <v>157630</v>
      </c>
      <c r="E53" s="4" t="n">
        <f aca="false">Wheat_Yield_Data!E53</f>
        <v>1312</v>
      </c>
      <c r="F53" s="6" t="s">
        <v>106</v>
      </c>
      <c r="G53" s="2" t="s">
        <v>18</v>
      </c>
      <c r="H53" s="6" t="s">
        <v>99</v>
      </c>
      <c r="I53" s="2" t="s">
        <v>100</v>
      </c>
      <c r="J53" s="6" t="s">
        <v>167</v>
      </c>
    </row>
    <row r="54" customFormat="false" ht="35.05" hidden="false" customHeight="false" outlineLevel="0" collapsed="false">
      <c r="A54" s="2" t="str">
        <f aca="false">Wheat_Yield_Data!A54</f>
        <v>Chakwal</v>
      </c>
      <c r="B54" s="2" t="str">
        <f aca="false">Wheat_Yield_Data!B54</f>
        <v>2014-15</v>
      </c>
      <c r="C54" s="3" t="n">
        <f aca="false">Wheat_Yield_Data!C54</f>
        <v>119380</v>
      </c>
      <c r="D54" s="3" t="n">
        <f aca="false">Wheat_Yield_Data!D54</f>
        <v>197740</v>
      </c>
      <c r="E54" s="4" t="n">
        <f aca="false">Wheat_Yield_Data!E54</f>
        <v>1656</v>
      </c>
      <c r="F54" s="6" t="s">
        <v>108</v>
      </c>
      <c r="G54" s="2" t="s">
        <v>23</v>
      </c>
      <c r="H54" s="6" t="s">
        <v>99</v>
      </c>
      <c r="I54" s="2" t="s">
        <v>100</v>
      </c>
      <c r="J54" s="6" t="s">
        <v>168</v>
      </c>
    </row>
    <row r="55" customFormat="false" ht="46.25" hidden="false" customHeight="false" outlineLevel="0" collapsed="false">
      <c r="A55" s="2" t="str">
        <f aca="false">Wheat_Yield_Data!A55</f>
        <v>Chakwal</v>
      </c>
      <c r="B55" s="2" t="str">
        <f aca="false">Wheat_Yield_Data!B55</f>
        <v>2015-16</v>
      </c>
      <c r="C55" s="3" t="n">
        <f aca="false">Wheat_Yield_Data!C55</f>
        <v>129900</v>
      </c>
      <c r="D55" s="3" t="n">
        <f aca="false">Wheat_Yield_Data!D55</f>
        <v>233880</v>
      </c>
      <c r="E55" s="5" t="n">
        <f aca="false">Wheat_Yield_Data!E55</f>
        <v>1800.46189376443</v>
      </c>
      <c r="F55" s="6" t="s">
        <v>110</v>
      </c>
      <c r="G55" s="2" t="s">
        <v>23</v>
      </c>
      <c r="H55" s="6" t="s">
        <v>99</v>
      </c>
      <c r="I55" s="2" t="s">
        <v>111</v>
      </c>
      <c r="J55" s="6" t="s">
        <v>169</v>
      </c>
    </row>
    <row r="56" customFormat="false" ht="46.25" hidden="false" customHeight="false" outlineLevel="0" collapsed="false">
      <c r="A56" s="2" t="str">
        <f aca="false">Wheat_Yield_Data!A56</f>
        <v>Chakwal</v>
      </c>
      <c r="B56" s="2" t="str">
        <f aca="false">Wheat_Yield_Data!B56</f>
        <v>2016-17</v>
      </c>
      <c r="C56" s="3" t="n">
        <f aca="false">Wheat_Yield_Data!C56</f>
        <v>115330</v>
      </c>
      <c r="D56" s="3" t="n">
        <f aca="false">Wheat_Yield_Data!D56</f>
        <v>143290</v>
      </c>
      <c r="E56" s="4" t="n">
        <f aca="false">Wheat_Yield_Data!E56</f>
        <v>1242</v>
      </c>
      <c r="F56" s="6" t="s">
        <v>113</v>
      </c>
      <c r="G56" s="2" t="s">
        <v>29</v>
      </c>
      <c r="H56" s="6" t="s">
        <v>114</v>
      </c>
      <c r="I56" s="2" t="s">
        <v>100</v>
      </c>
      <c r="J56" s="6" t="s">
        <v>170</v>
      </c>
    </row>
    <row r="57" customFormat="false" ht="46.25" hidden="false" customHeight="false" outlineLevel="0" collapsed="false">
      <c r="A57" s="2" t="str">
        <f aca="false">Wheat_Yield_Data!A57</f>
        <v>Chakwal</v>
      </c>
      <c r="B57" s="2" t="str">
        <f aca="false">Wheat_Yield_Data!B57</f>
        <v>2017-18</v>
      </c>
      <c r="C57" s="3" t="n">
        <f aca="false">Wheat_Yield_Data!C57</f>
        <v>116140</v>
      </c>
      <c r="D57" s="3" t="n">
        <f aca="false">Wheat_Yield_Data!D57</f>
        <v>129230</v>
      </c>
      <c r="E57" s="4" t="n">
        <f aca="false">Wheat_Yield_Data!E57</f>
        <v>1112</v>
      </c>
      <c r="F57" s="6" t="s">
        <v>116</v>
      </c>
      <c r="G57" s="2" t="s">
        <v>29</v>
      </c>
      <c r="H57" s="6" t="s">
        <v>114</v>
      </c>
      <c r="I57" s="2" t="s">
        <v>100</v>
      </c>
      <c r="J57" s="6" t="s">
        <v>171</v>
      </c>
    </row>
    <row r="58" customFormat="false" ht="46.25" hidden="false" customHeight="false" outlineLevel="0" collapsed="false">
      <c r="A58" s="2" t="str">
        <f aca="false">Wheat_Yield_Data!A58</f>
        <v>Chakwal</v>
      </c>
      <c r="B58" s="2" t="str">
        <f aca="false">Wheat_Yield_Data!B58</f>
        <v>2018-19</v>
      </c>
      <c r="C58" s="3" t="n">
        <f aca="false">Wheat_Yield_Data!C58</f>
        <v>119790</v>
      </c>
      <c r="D58" s="3" t="n">
        <f aca="false">Wheat_Yield_Data!D58</f>
        <v>160100</v>
      </c>
      <c r="E58" s="4" t="n">
        <f aca="false">Wheat_Yield_Data!E58</f>
        <v>1336</v>
      </c>
      <c r="F58" s="6" t="s">
        <v>118</v>
      </c>
      <c r="G58" s="2" t="s">
        <v>34</v>
      </c>
      <c r="H58" s="6" t="s">
        <v>114</v>
      </c>
      <c r="I58" s="2" t="s">
        <v>100</v>
      </c>
      <c r="J58" s="6" t="s">
        <v>172</v>
      </c>
    </row>
    <row r="59" customFormat="false" ht="35.05" hidden="false" customHeight="false" outlineLevel="0" collapsed="false">
      <c r="A59" s="2" t="str">
        <f aca="false">Wheat_Yield_Data!A59</f>
        <v>Chakwal</v>
      </c>
      <c r="B59" s="2" t="str">
        <f aca="false">Wheat_Yield_Data!B59</f>
        <v>2020-21</v>
      </c>
      <c r="C59" s="3" t="n">
        <f aca="false">Wheat_Yield_Data!C59</f>
        <v>154990</v>
      </c>
      <c r="D59" s="3" t="n">
        <f aca="false">Wheat_Yield_Data!D59</f>
        <v>260750</v>
      </c>
      <c r="E59" s="4" t="n">
        <f aca="false">Wheat_Yield_Data!E59</f>
        <v>1682</v>
      </c>
      <c r="F59" s="6" t="s">
        <v>120</v>
      </c>
      <c r="G59" s="2" t="s">
        <v>37</v>
      </c>
      <c r="H59" s="6" t="s">
        <v>121</v>
      </c>
      <c r="I59" s="2" t="s">
        <v>100</v>
      </c>
      <c r="J59" s="6" t="s">
        <v>173</v>
      </c>
    </row>
    <row r="60" customFormat="false" ht="35.05" hidden="false" customHeight="false" outlineLevel="0" collapsed="false">
      <c r="A60" s="2" t="str">
        <f aca="false">Wheat_Yield_Data!A60</f>
        <v>Chakwal</v>
      </c>
      <c r="B60" s="2" t="str">
        <f aca="false">Wheat_Yield_Data!B60</f>
        <v>2021-22</v>
      </c>
      <c r="C60" s="3" t="n">
        <f aca="false">Wheat_Yield_Data!C60</f>
        <v>150530</v>
      </c>
      <c r="D60" s="3" t="n">
        <f aca="false">Wheat_Yield_Data!D60</f>
        <v>252020</v>
      </c>
      <c r="E60" s="4" t="n">
        <f aca="false">Wheat_Yield_Data!E60</f>
        <v>1673</v>
      </c>
      <c r="F60" s="6" t="s">
        <v>123</v>
      </c>
      <c r="G60" s="2" t="s">
        <v>37</v>
      </c>
      <c r="H60" s="6" t="s">
        <v>121</v>
      </c>
      <c r="I60" s="2" t="s">
        <v>100</v>
      </c>
      <c r="J60" s="6" t="s">
        <v>174</v>
      </c>
    </row>
    <row r="61" customFormat="false" ht="35.05" hidden="false" customHeight="false" outlineLevel="0" collapsed="false">
      <c r="A61" s="2" t="str">
        <f aca="false">Wheat_Yield_Data!A61</f>
        <v>Chakwal</v>
      </c>
      <c r="B61" s="2" t="str">
        <f aca="false">Wheat_Yield_Data!B61</f>
        <v>2022-23</v>
      </c>
      <c r="C61" s="3" t="n">
        <f aca="false">Wheat_Yield_Data!C61</f>
        <v>100800</v>
      </c>
      <c r="D61" s="3" t="n">
        <f aca="false">Wheat_Yield_Data!D61</f>
        <v>178500</v>
      </c>
      <c r="E61" s="4" t="n">
        <f aca="false">Wheat_Yield_Data!E61</f>
        <v>1771</v>
      </c>
      <c r="F61" s="6" t="s">
        <v>125</v>
      </c>
      <c r="G61" s="2" t="s">
        <v>43</v>
      </c>
      <c r="H61" s="6" t="s">
        <v>126</v>
      </c>
      <c r="I61" s="2" t="s">
        <v>100</v>
      </c>
      <c r="J61" s="6" t="s">
        <v>175</v>
      </c>
    </row>
    <row r="62" customFormat="false" ht="35.05" hidden="false" customHeight="false" outlineLevel="0" collapsed="false">
      <c r="A62" s="2" t="str">
        <f aca="false">Wheat_Yield_Data!A62</f>
        <v>Chiniot</v>
      </c>
      <c r="B62" s="2" t="str">
        <f aca="false">Wheat_Yield_Data!B62</f>
        <v>2010-11</v>
      </c>
      <c r="C62" s="3" t="n">
        <f aca="false">Wheat_Yield_Data!C62</f>
        <v>107650</v>
      </c>
      <c r="D62" s="3" t="n">
        <f aca="false">Wheat_Yield_Data!D62</f>
        <v>334880</v>
      </c>
      <c r="E62" s="4" t="n">
        <f aca="false">Wheat_Yield_Data!E62</f>
        <v>3111</v>
      </c>
      <c r="F62" s="6" t="s">
        <v>98</v>
      </c>
      <c r="G62" s="2" t="s">
        <v>11</v>
      </c>
      <c r="H62" s="6" t="s">
        <v>99</v>
      </c>
      <c r="I62" s="2" t="s">
        <v>100</v>
      </c>
      <c r="J62" s="6" t="s">
        <v>176</v>
      </c>
    </row>
    <row r="63" customFormat="false" ht="35.05" hidden="false" customHeight="false" outlineLevel="0" collapsed="false">
      <c r="A63" s="2" t="str">
        <f aca="false">Wheat_Yield_Data!A63</f>
        <v>Chiniot</v>
      </c>
      <c r="B63" s="2" t="str">
        <f aca="false">Wheat_Yield_Data!B63</f>
        <v>2011-12</v>
      </c>
      <c r="C63" s="3" t="n">
        <f aca="false">Wheat_Yield_Data!C63</f>
        <v>97930</v>
      </c>
      <c r="D63" s="3" t="n">
        <f aca="false">Wheat_Yield_Data!D63</f>
        <v>301330</v>
      </c>
      <c r="E63" s="4" t="n">
        <f aca="false">Wheat_Yield_Data!E63</f>
        <v>3077</v>
      </c>
      <c r="F63" s="6" t="s">
        <v>102</v>
      </c>
      <c r="G63" s="2" t="s">
        <v>11</v>
      </c>
      <c r="H63" s="6" t="s">
        <v>99</v>
      </c>
      <c r="I63" s="2" t="s">
        <v>100</v>
      </c>
      <c r="J63" s="6" t="s">
        <v>177</v>
      </c>
    </row>
    <row r="64" customFormat="false" ht="46.25" hidden="false" customHeight="false" outlineLevel="0" collapsed="false">
      <c r="A64" s="2" t="str">
        <f aca="false">Wheat_Yield_Data!A64</f>
        <v>Chiniot</v>
      </c>
      <c r="B64" s="2" t="str">
        <f aca="false">Wheat_Yield_Data!B64</f>
        <v>2012-13</v>
      </c>
      <c r="C64" s="3" t="n">
        <f aca="false">Wheat_Yield_Data!C64</f>
        <v>95910</v>
      </c>
      <c r="D64" s="3" t="n">
        <f aca="false">Wheat_Yield_Data!D64</f>
        <v>298900</v>
      </c>
      <c r="E64" s="4" t="n">
        <f aca="false">Wheat_Yield_Data!E64</f>
        <v>3117</v>
      </c>
      <c r="F64" s="6" t="s">
        <v>104</v>
      </c>
      <c r="G64" s="2" t="s">
        <v>18</v>
      </c>
      <c r="H64" s="6" t="s">
        <v>99</v>
      </c>
      <c r="I64" s="2" t="s">
        <v>100</v>
      </c>
      <c r="J64" s="6" t="s">
        <v>178</v>
      </c>
    </row>
    <row r="65" customFormat="false" ht="35.05" hidden="false" customHeight="false" outlineLevel="0" collapsed="false">
      <c r="A65" s="2" t="str">
        <f aca="false">Wheat_Yield_Data!A65</f>
        <v>Chiniot</v>
      </c>
      <c r="B65" s="2" t="str">
        <f aca="false">Wheat_Yield_Data!B65</f>
        <v>2013-14</v>
      </c>
      <c r="C65" s="3" t="n">
        <f aca="false">Wheat_Yield_Data!C65</f>
        <v>119790</v>
      </c>
      <c r="D65" s="3" t="n">
        <f aca="false">Wheat_Yield_Data!D65</f>
        <v>376740</v>
      </c>
      <c r="E65" s="4" t="n">
        <f aca="false">Wheat_Yield_Data!E65</f>
        <v>3145</v>
      </c>
      <c r="F65" s="6" t="s">
        <v>106</v>
      </c>
      <c r="G65" s="2" t="s">
        <v>18</v>
      </c>
      <c r="H65" s="6" t="s">
        <v>99</v>
      </c>
      <c r="I65" s="2" t="s">
        <v>100</v>
      </c>
      <c r="J65" s="6" t="s">
        <v>179</v>
      </c>
    </row>
    <row r="66" customFormat="false" ht="35.05" hidden="false" customHeight="false" outlineLevel="0" collapsed="false">
      <c r="A66" s="2" t="str">
        <f aca="false">Wheat_Yield_Data!A66</f>
        <v>Chiniot</v>
      </c>
      <c r="B66" s="2" t="str">
        <f aca="false">Wheat_Yield_Data!B66</f>
        <v>2014-15</v>
      </c>
      <c r="C66" s="3" t="n">
        <f aca="false">Wheat_Yield_Data!C66</f>
        <v>119790</v>
      </c>
      <c r="D66" s="3" t="n">
        <f aca="false">Wheat_Yield_Data!D66</f>
        <v>347900</v>
      </c>
      <c r="E66" s="4" t="n">
        <f aca="false">Wheat_Yield_Data!E66</f>
        <v>2904</v>
      </c>
      <c r="F66" s="6" t="s">
        <v>108</v>
      </c>
      <c r="G66" s="2" t="s">
        <v>23</v>
      </c>
      <c r="H66" s="6" t="s">
        <v>99</v>
      </c>
      <c r="I66" s="2" t="s">
        <v>100</v>
      </c>
      <c r="J66" s="6" t="s">
        <v>180</v>
      </c>
    </row>
    <row r="67" customFormat="false" ht="35.05" hidden="false" customHeight="false" outlineLevel="0" collapsed="false">
      <c r="A67" s="2" t="str">
        <f aca="false">Wheat_Yield_Data!A67</f>
        <v>Chiniot</v>
      </c>
      <c r="B67" s="2" t="str">
        <f aca="false">Wheat_Yield_Data!B67</f>
        <v>2015-16</v>
      </c>
      <c r="C67" s="3" t="n">
        <f aca="false">Wheat_Yield_Data!C67</f>
        <v>108050</v>
      </c>
      <c r="D67" s="3" t="n">
        <f aca="false">Wheat_Yield_Data!D67</f>
        <v>316610</v>
      </c>
      <c r="E67" s="4" t="n">
        <f aca="false">Wheat_Yield_Data!E67</f>
        <v>2930</v>
      </c>
      <c r="F67" s="6" t="s">
        <v>110</v>
      </c>
      <c r="G67" s="2" t="s">
        <v>23</v>
      </c>
      <c r="H67" s="6" t="s">
        <v>99</v>
      </c>
      <c r="I67" s="2" t="s">
        <v>100</v>
      </c>
      <c r="J67" s="6" t="s">
        <v>181</v>
      </c>
    </row>
    <row r="68" customFormat="false" ht="46.25" hidden="false" customHeight="false" outlineLevel="0" collapsed="false">
      <c r="A68" s="2" t="str">
        <f aca="false">Wheat_Yield_Data!A68</f>
        <v>Chiniot</v>
      </c>
      <c r="B68" s="2" t="str">
        <f aca="false">Wheat_Yield_Data!B68</f>
        <v>2016-17</v>
      </c>
      <c r="C68" s="3" t="n">
        <f aca="false">Wheat_Yield_Data!C68</f>
        <v>104810</v>
      </c>
      <c r="D68" s="3" t="n">
        <f aca="false">Wheat_Yield_Data!D68</f>
        <v>320950</v>
      </c>
      <c r="E68" s="4" t="n">
        <f aca="false">Wheat_Yield_Data!E68</f>
        <v>3062</v>
      </c>
      <c r="F68" s="6" t="s">
        <v>113</v>
      </c>
      <c r="G68" s="2" t="s">
        <v>29</v>
      </c>
      <c r="H68" s="6" t="s">
        <v>114</v>
      </c>
      <c r="I68" s="2" t="s">
        <v>100</v>
      </c>
      <c r="J68" s="6" t="s">
        <v>182</v>
      </c>
    </row>
    <row r="69" customFormat="false" ht="46.25" hidden="false" customHeight="false" outlineLevel="0" collapsed="false">
      <c r="A69" s="2" t="str">
        <f aca="false">Wheat_Yield_Data!A69</f>
        <v>Chiniot</v>
      </c>
      <c r="B69" s="2" t="str">
        <f aca="false">Wheat_Yield_Data!B69</f>
        <v>2017-18</v>
      </c>
      <c r="C69" s="3" t="n">
        <f aca="false">Wheat_Yield_Data!C69</f>
        <v>114520</v>
      </c>
      <c r="D69" s="3" t="n">
        <f aca="false">Wheat_Yield_Data!D69</f>
        <v>340860</v>
      </c>
      <c r="E69" s="4" t="n">
        <f aca="false">Wheat_Yield_Data!E69</f>
        <v>2976</v>
      </c>
      <c r="F69" s="6" t="s">
        <v>116</v>
      </c>
      <c r="G69" s="2" t="s">
        <v>29</v>
      </c>
      <c r="H69" s="6" t="s">
        <v>114</v>
      </c>
      <c r="I69" s="2" t="s">
        <v>100</v>
      </c>
      <c r="J69" s="6" t="s">
        <v>183</v>
      </c>
    </row>
    <row r="70" customFormat="false" ht="46.25" hidden="false" customHeight="false" outlineLevel="0" collapsed="false">
      <c r="A70" s="2" t="str">
        <f aca="false">Wheat_Yield_Data!A70</f>
        <v>Chiniot</v>
      </c>
      <c r="B70" s="2" t="str">
        <f aca="false">Wheat_Yield_Data!B70</f>
        <v>2018-19</v>
      </c>
      <c r="C70" s="3" t="n">
        <f aca="false">Wheat_Yield_Data!C70</f>
        <v>111290</v>
      </c>
      <c r="D70" s="3" t="n">
        <f aca="false">Wheat_Yield_Data!D70</f>
        <v>322300</v>
      </c>
      <c r="E70" s="4" t="n">
        <f aca="false">Wheat_Yield_Data!E70</f>
        <v>2896</v>
      </c>
      <c r="F70" s="6" t="s">
        <v>118</v>
      </c>
      <c r="G70" s="2" t="s">
        <v>34</v>
      </c>
      <c r="H70" s="6" t="s">
        <v>114</v>
      </c>
      <c r="I70" s="2" t="s">
        <v>100</v>
      </c>
      <c r="J70" s="6" t="s">
        <v>184</v>
      </c>
    </row>
    <row r="71" customFormat="false" ht="35.05" hidden="false" customHeight="false" outlineLevel="0" collapsed="false">
      <c r="A71" s="2" t="str">
        <f aca="false">Wheat_Yield_Data!A71</f>
        <v>Chiniot</v>
      </c>
      <c r="B71" s="2" t="str">
        <f aca="false">Wheat_Yield_Data!B71</f>
        <v>2020-21</v>
      </c>
      <c r="C71" s="3" t="n">
        <f aca="false">Wheat_Yield_Data!C71</f>
        <v>102380</v>
      </c>
      <c r="D71" s="3" t="n">
        <f aca="false">Wheat_Yield_Data!D71</f>
        <v>341250</v>
      </c>
      <c r="E71" s="4" t="n">
        <f aca="false">Wheat_Yield_Data!E71</f>
        <v>3333</v>
      </c>
      <c r="F71" s="6" t="s">
        <v>120</v>
      </c>
      <c r="G71" s="2" t="s">
        <v>37</v>
      </c>
      <c r="H71" s="6" t="s">
        <v>121</v>
      </c>
      <c r="I71" s="2" t="s">
        <v>100</v>
      </c>
      <c r="J71" s="6" t="s">
        <v>185</v>
      </c>
    </row>
    <row r="72" customFormat="false" ht="35.05" hidden="false" customHeight="false" outlineLevel="0" collapsed="false">
      <c r="A72" s="2" t="str">
        <f aca="false">Wheat_Yield_Data!A72</f>
        <v>Chiniot</v>
      </c>
      <c r="B72" s="2" t="str">
        <f aca="false">Wheat_Yield_Data!B72</f>
        <v>2021-22</v>
      </c>
      <c r="C72" s="3" t="n">
        <f aca="false">Wheat_Yield_Data!C72</f>
        <v>96720</v>
      </c>
      <c r="D72" s="3" t="n">
        <f aca="false">Wheat_Yield_Data!D72</f>
        <v>331920</v>
      </c>
      <c r="E72" s="4" t="n">
        <f aca="false">Wheat_Yield_Data!E72</f>
        <v>3432</v>
      </c>
      <c r="F72" s="6" t="s">
        <v>123</v>
      </c>
      <c r="G72" s="2" t="s">
        <v>37</v>
      </c>
      <c r="H72" s="6" t="s">
        <v>121</v>
      </c>
      <c r="I72" s="2" t="s">
        <v>100</v>
      </c>
      <c r="J72" s="6" t="s">
        <v>186</v>
      </c>
    </row>
    <row r="73" customFormat="false" ht="23.85" hidden="false" customHeight="false" outlineLevel="0" collapsed="false">
      <c r="A73" s="2" t="str">
        <f aca="false">Wheat_Yield_Data!A73</f>
        <v>Chiniot</v>
      </c>
      <c r="B73" s="2" t="str">
        <f aca="false">Wheat_Yield_Data!B73</f>
        <v>2022-23</v>
      </c>
      <c r="C73" s="3" t="n">
        <f aca="false">Wheat_Yield_Data!C73</f>
        <v>98300</v>
      </c>
      <c r="D73" s="3" t="n">
        <f aca="false">Wheat_Yield_Data!D73</f>
        <v>368000</v>
      </c>
      <c r="E73" s="4" t="n">
        <f aca="false">Wheat_Yield_Data!E73</f>
        <v>3742</v>
      </c>
      <c r="F73" s="6" t="s">
        <v>125</v>
      </c>
      <c r="G73" s="2" t="s">
        <v>43</v>
      </c>
      <c r="H73" s="6" t="s">
        <v>126</v>
      </c>
      <c r="I73" s="2" t="s">
        <v>100</v>
      </c>
      <c r="J73" s="6" t="s">
        <v>187</v>
      </c>
    </row>
    <row r="74" customFormat="false" ht="35.05" hidden="false" customHeight="false" outlineLevel="0" collapsed="false">
      <c r="A74" s="2" t="str">
        <f aca="false">Wheat_Yield_Data!A74</f>
        <v>D.G. Khan</v>
      </c>
      <c r="B74" s="2" t="str">
        <f aca="false">Wheat_Yield_Data!B74</f>
        <v>2010-11</v>
      </c>
      <c r="C74" s="3" t="n">
        <f aca="false">Wheat_Yield_Data!C74</f>
        <v>175220</v>
      </c>
      <c r="D74" s="3" t="n">
        <f aca="false">Wheat_Yield_Data!D74</f>
        <v>463560</v>
      </c>
      <c r="E74" s="4" t="n">
        <f aca="false">Wheat_Yield_Data!E74</f>
        <v>2645</v>
      </c>
      <c r="F74" s="6" t="s">
        <v>98</v>
      </c>
      <c r="G74" s="2" t="s">
        <v>11</v>
      </c>
      <c r="H74" s="6" t="s">
        <v>99</v>
      </c>
      <c r="I74" s="2" t="s">
        <v>100</v>
      </c>
      <c r="J74" s="6" t="s">
        <v>188</v>
      </c>
    </row>
    <row r="75" customFormat="false" ht="35.05" hidden="false" customHeight="false" outlineLevel="0" collapsed="false">
      <c r="A75" s="2" t="str">
        <f aca="false">Wheat_Yield_Data!A75</f>
        <v>D.G. Khan</v>
      </c>
      <c r="B75" s="2" t="str">
        <f aca="false">Wheat_Yield_Data!B75</f>
        <v>2011-12</v>
      </c>
      <c r="C75" s="3" t="n">
        <f aca="false">Wheat_Yield_Data!C75</f>
        <v>168350</v>
      </c>
      <c r="D75" s="3" t="n">
        <f aca="false">Wheat_Yield_Data!D75</f>
        <v>447850</v>
      </c>
      <c r="E75" s="4" t="n">
        <f aca="false">Wheat_Yield_Data!E75</f>
        <v>2660</v>
      </c>
      <c r="F75" s="6" t="s">
        <v>102</v>
      </c>
      <c r="G75" s="2" t="s">
        <v>11</v>
      </c>
      <c r="H75" s="6" t="s">
        <v>99</v>
      </c>
      <c r="I75" s="2" t="s">
        <v>100</v>
      </c>
      <c r="J75" s="6" t="s">
        <v>189</v>
      </c>
    </row>
    <row r="76" customFormat="false" ht="46.25" hidden="false" customHeight="false" outlineLevel="0" collapsed="false">
      <c r="A76" s="2" t="str">
        <f aca="false">Wheat_Yield_Data!A76</f>
        <v>D.G. Khan</v>
      </c>
      <c r="B76" s="2" t="str">
        <f aca="false">Wheat_Yield_Data!B76</f>
        <v>2012-13</v>
      </c>
      <c r="C76" s="3" t="n">
        <f aca="false">Wheat_Yield_Data!C76</f>
        <v>165510</v>
      </c>
      <c r="D76" s="3" t="n">
        <f aca="false">Wheat_Yield_Data!D76</f>
        <v>471740</v>
      </c>
      <c r="E76" s="4" t="n">
        <f aca="false">Wheat_Yield_Data!E76</f>
        <v>2850</v>
      </c>
      <c r="F76" s="6" t="s">
        <v>104</v>
      </c>
      <c r="G76" s="2" t="s">
        <v>18</v>
      </c>
      <c r="H76" s="6" t="s">
        <v>99</v>
      </c>
      <c r="I76" s="2" t="s">
        <v>100</v>
      </c>
      <c r="J76" s="6" t="s">
        <v>190</v>
      </c>
    </row>
    <row r="77" customFormat="false" ht="35.05" hidden="false" customHeight="false" outlineLevel="0" collapsed="false">
      <c r="A77" s="2" t="str">
        <f aca="false">Wheat_Yield_Data!A77</f>
        <v>D.G. Khan</v>
      </c>
      <c r="B77" s="2" t="str">
        <f aca="false">Wheat_Yield_Data!B77</f>
        <v>2013-14</v>
      </c>
      <c r="C77" s="3" t="n">
        <f aca="false">Wheat_Yield_Data!C77</f>
        <v>176850</v>
      </c>
      <c r="D77" s="3" t="n">
        <f aca="false">Wheat_Yield_Data!D77</f>
        <v>515480</v>
      </c>
      <c r="E77" s="4" t="n">
        <f aca="false">Wheat_Yield_Data!E77</f>
        <v>2915</v>
      </c>
      <c r="F77" s="6" t="s">
        <v>106</v>
      </c>
      <c r="G77" s="2" t="s">
        <v>18</v>
      </c>
      <c r="H77" s="6" t="s">
        <v>99</v>
      </c>
      <c r="I77" s="2" t="s">
        <v>100</v>
      </c>
      <c r="J77" s="6" t="s">
        <v>191</v>
      </c>
    </row>
    <row r="78" customFormat="false" ht="35.05" hidden="false" customHeight="false" outlineLevel="0" collapsed="false">
      <c r="A78" s="2" t="str">
        <f aca="false">Wheat_Yield_Data!A78</f>
        <v>D.G. Khan</v>
      </c>
      <c r="B78" s="2" t="str">
        <f aca="false">Wheat_Yield_Data!B78</f>
        <v>2014-15</v>
      </c>
      <c r="C78" s="3" t="n">
        <f aca="false">Wheat_Yield_Data!C78</f>
        <v>186970</v>
      </c>
      <c r="D78" s="3" t="n">
        <f aca="false">Wheat_Yield_Data!D78</f>
        <v>558030</v>
      </c>
      <c r="E78" s="4" t="n">
        <f aca="false">Wheat_Yield_Data!E78</f>
        <v>2985</v>
      </c>
      <c r="F78" s="6" t="s">
        <v>108</v>
      </c>
      <c r="G78" s="2" t="s">
        <v>23</v>
      </c>
      <c r="H78" s="6" t="s">
        <v>99</v>
      </c>
      <c r="I78" s="2" t="s">
        <v>100</v>
      </c>
      <c r="J78" s="6" t="s">
        <v>192</v>
      </c>
    </row>
    <row r="79" customFormat="false" ht="46.25" hidden="false" customHeight="false" outlineLevel="0" collapsed="false">
      <c r="A79" s="2" t="str">
        <f aca="false">Wheat_Yield_Data!A79</f>
        <v>D.G. Khan</v>
      </c>
      <c r="B79" s="2" t="str">
        <f aca="false">Wheat_Yield_Data!B79</f>
        <v>2015-16</v>
      </c>
      <c r="C79" s="3" t="n">
        <f aca="false">Wheat_Yield_Data!C79</f>
        <v>191000</v>
      </c>
      <c r="D79" s="3" t="n">
        <f aca="false">Wheat_Yield_Data!D79</f>
        <v>527690</v>
      </c>
      <c r="E79" s="5" t="n">
        <f aca="false">Wheat_Yield_Data!E79</f>
        <v>2762.77486910995</v>
      </c>
      <c r="F79" s="6" t="s">
        <v>110</v>
      </c>
      <c r="G79" s="2" t="s">
        <v>23</v>
      </c>
      <c r="H79" s="6" t="s">
        <v>99</v>
      </c>
      <c r="I79" s="2" t="s">
        <v>111</v>
      </c>
      <c r="J79" s="6" t="s">
        <v>193</v>
      </c>
    </row>
    <row r="80" customFormat="false" ht="46.25" hidden="false" customHeight="false" outlineLevel="0" collapsed="false">
      <c r="A80" s="2" t="str">
        <f aca="false">Wheat_Yield_Data!A80</f>
        <v>D.G. Khan</v>
      </c>
      <c r="B80" s="2" t="str">
        <f aca="false">Wheat_Yield_Data!B80</f>
        <v>2016-17</v>
      </c>
      <c r="C80" s="3" t="n">
        <f aca="false">Wheat_Yield_Data!C80</f>
        <v>183720</v>
      </c>
      <c r="D80" s="3" t="n">
        <f aca="false">Wheat_Yield_Data!D80</f>
        <v>590890</v>
      </c>
      <c r="E80" s="4" t="n">
        <f aca="false">Wheat_Yield_Data!E80</f>
        <v>3216</v>
      </c>
      <c r="F80" s="6" t="s">
        <v>113</v>
      </c>
      <c r="G80" s="2" t="s">
        <v>29</v>
      </c>
      <c r="H80" s="6" t="s">
        <v>114</v>
      </c>
      <c r="I80" s="2" t="s">
        <v>100</v>
      </c>
      <c r="J80" s="6" t="s">
        <v>194</v>
      </c>
    </row>
    <row r="81" customFormat="false" ht="46.25" hidden="false" customHeight="false" outlineLevel="0" collapsed="false">
      <c r="A81" s="2" t="str">
        <f aca="false">Wheat_Yield_Data!A81</f>
        <v>D.G. Khan</v>
      </c>
      <c r="B81" s="2" t="str">
        <f aca="false">Wheat_Yield_Data!B81</f>
        <v>2017-18</v>
      </c>
      <c r="C81" s="3" t="n">
        <f aca="false">Wheat_Yield_Data!C81</f>
        <v>180480</v>
      </c>
      <c r="D81" s="3" t="n">
        <f aca="false">Wheat_Yield_Data!D81</f>
        <v>547750</v>
      </c>
      <c r="E81" s="4" t="n">
        <f aca="false">Wheat_Yield_Data!E81</f>
        <v>3034</v>
      </c>
      <c r="F81" s="6" t="s">
        <v>116</v>
      </c>
      <c r="G81" s="2" t="s">
        <v>29</v>
      </c>
      <c r="H81" s="6" t="s">
        <v>114</v>
      </c>
      <c r="I81" s="2" t="s">
        <v>100</v>
      </c>
      <c r="J81" s="6" t="s">
        <v>195</v>
      </c>
    </row>
    <row r="82" customFormat="false" ht="46.25" hidden="false" customHeight="false" outlineLevel="0" collapsed="false">
      <c r="A82" s="2" t="str">
        <f aca="false">Wheat_Yield_Data!A82</f>
        <v>D.G. Khan</v>
      </c>
      <c r="B82" s="2" t="str">
        <f aca="false">Wheat_Yield_Data!B82</f>
        <v>2018-19</v>
      </c>
      <c r="C82" s="3" t="n">
        <f aca="false">Wheat_Yield_Data!C82</f>
        <v>183320</v>
      </c>
      <c r="D82" s="3" t="n">
        <f aca="false">Wheat_Yield_Data!D82</f>
        <v>524920</v>
      </c>
      <c r="E82" s="4" t="n">
        <f aca="false">Wheat_Yield_Data!E82</f>
        <v>2864</v>
      </c>
      <c r="F82" s="6" t="s">
        <v>118</v>
      </c>
      <c r="G82" s="2" t="s">
        <v>34</v>
      </c>
      <c r="H82" s="6" t="s">
        <v>114</v>
      </c>
      <c r="I82" s="2" t="s">
        <v>100</v>
      </c>
      <c r="J82" s="6" t="s">
        <v>196</v>
      </c>
    </row>
    <row r="83" customFormat="false" ht="35.05" hidden="false" customHeight="false" outlineLevel="0" collapsed="false">
      <c r="A83" s="2" t="str">
        <f aca="false">Wheat_Yield_Data!A83</f>
        <v>D.G. Khan</v>
      </c>
      <c r="B83" s="2" t="str">
        <f aca="false">Wheat_Yield_Data!B83</f>
        <v>2020-21</v>
      </c>
      <c r="C83" s="3" t="n">
        <f aca="false">Wheat_Yield_Data!C83</f>
        <v>233500</v>
      </c>
      <c r="D83" s="3" t="n">
        <f aca="false">Wheat_Yield_Data!D83</f>
        <v>760260</v>
      </c>
      <c r="E83" s="4" t="n">
        <f aca="false">Wheat_Yield_Data!E83</f>
        <v>3256</v>
      </c>
      <c r="F83" s="6" t="s">
        <v>120</v>
      </c>
      <c r="G83" s="2" t="s">
        <v>37</v>
      </c>
      <c r="H83" s="6" t="s">
        <v>121</v>
      </c>
      <c r="I83" s="2" t="s">
        <v>100</v>
      </c>
      <c r="J83" s="6" t="s">
        <v>197</v>
      </c>
    </row>
    <row r="84" customFormat="false" ht="35.05" hidden="false" customHeight="false" outlineLevel="0" collapsed="false">
      <c r="A84" s="2" t="str">
        <f aca="false">Wheat_Yield_Data!A84</f>
        <v>D.G. Khan</v>
      </c>
      <c r="B84" s="2" t="str">
        <f aca="false">Wheat_Yield_Data!B84</f>
        <v>2021-22</v>
      </c>
      <c r="C84" s="3" t="n">
        <f aca="false">Wheat_Yield_Data!C84</f>
        <v>237950</v>
      </c>
      <c r="D84" s="3" t="n">
        <f aca="false">Wheat_Yield_Data!D84</f>
        <v>755460</v>
      </c>
      <c r="E84" s="4" t="n">
        <f aca="false">Wheat_Yield_Data!E84</f>
        <v>3175</v>
      </c>
      <c r="F84" s="6" t="s">
        <v>123</v>
      </c>
      <c r="G84" s="2" t="s">
        <v>37</v>
      </c>
      <c r="H84" s="6" t="s">
        <v>121</v>
      </c>
      <c r="I84" s="2" t="s">
        <v>100</v>
      </c>
      <c r="J84" s="6" t="s">
        <v>198</v>
      </c>
    </row>
    <row r="85" customFormat="false" ht="23.85" hidden="false" customHeight="false" outlineLevel="0" collapsed="false">
      <c r="A85" s="2" t="str">
        <f aca="false">Wheat_Yield_Data!A85</f>
        <v>D.G. Khan</v>
      </c>
      <c r="B85" s="2" t="str">
        <f aca="false">Wheat_Yield_Data!B85</f>
        <v>2022-23</v>
      </c>
      <c r="C85" s="3" t="n">
        <f aca="false">Wheat_Yield_Data!C85</f>
        <v>220600</v>
      </c>
      <c r="D85" s="3" t="n">
        <f aca="false">Wheat_Yield_Data!D85</f>
        <v>739500</v>
      </c>
      <c r="E85" s="4" t="n">
        <f aca="false">Wheat_Yield_Data!E85</f>
        <v>3353</v>
      </c>
      <c r="F85" s="6" t="s">
        <v>125</v>
      </c>
      <c r="G85" s="2" t="s">
        <v>43</v>
      </c>
      <c r="H85" s="6" t="s">
        <v>126</v>
      </c>
      <c r="I85" s="2" t="s">
        <v>100</v>
      </c>
      <c r="J85" s="6" t="s">
        <v>199</v>
      </c>
    </row>
    <row r="86" customFormat="false" ht="35.05" hidden="false" customHeight="false" outlineLevel="0" collapsed="false">
      <c r="A86" s="2" t="str">
        <f aca="false">Wheat_Yield_Data!A86</f>
        <v>Faisalabad</v>
      </c>
      <c r="B86" s="2" t="str">
        <f aca="false">Wheat_Yield_Data!B86</f>
        <v>2010-11</v>
      </c>
      <c r="C86" s="3" t="n">
        <f aca="false">Wheat_Yield_Data!C86</f>
        <v>283680</v>
      </c>
      <c r="D86" s="3" t="n">
        <f aca="false">Wheat_Yield_Data!D86</f>
        <v>897440</v>
      </c>
      <c r="E86" s="4" t="n">
        <f aca="false">Wheat_Yield_Data!E86</f>
        <v>3164</v>
      </c>
      <c r="F86" s="6" t="s">
        <v>98</v>
      </c>
      <c r="G86" s="2" t="s">
        <v>11</v>
      </c>
      <c r="H86" s="6" t="s">
        <v>99</v>
      </c>
      <c r="I86" s="2" t="s">
        <v>100</v>
      </c>
      <c r="J86" s="6" t="s">
        <v>200</v>
      </c>
    </row>
    <row r="87" customFormat="false" ht="35.05" hidden="false" customHeight="false" outlineLevel="0" collapsed="false">
      <c r="A87" s="2" t="str">
        <f aca="false">Wheat_Yield_Data!A87</f>
        <v>Faisalabad</v>
      </c>
      <c r="B87" s="2" t="str">
        <f aca="false">Wheat_Yield_Data!B87</f>
        <v>2011-12</v>
      </c>
      <c r="C87" s="3" t="n">
        <f aca="false">Wheat_Yield_Data!C87</f>
        <v>281250</v>
      </c>
      <c r="D87" s="3" t="n">
        <f aca="false">Wheat_Yield_Data!D87</f>
        <v>855780</v>
      </c>
      <c r="E87" s="4" t="n">
        <f aca="false">Wheat_Yield_Data!E87</f>
        <v>3043</v>
      </c>
      <c r="F87" s="6" t="s">
        <v>102</v>
      </c>
      <c r="G87" s="2" t="s">
        <v>11</v>
      </c>
      <c r="H87" s="6" t="s">
        <v>99</v>
      </c>
      <c r="I87" s="2" t="s">
        <v>100</v>
      </c>
      <c r="J87" s="6" t="s">
        <v>201</v>
      </c>
    </row>
    <row r="88" customFormat="false" ht="46.25" hidden="false" customHeight="false" outlineLevel="0" collapsed="false">
      <c r="A88" s="2" t="str">
        <f aca="false">Wheat_Yield_Data!A88</f>
        <v>Faisalabad</v>
      </c>
      <c r="B88" s="2" t="str">
        <f aca="false">Wheat_Yield_Data!B88</f>
        <v>2012-13</v>
      </c>
      <c r="C88" s="3" t="n">
        <f aca="false">Wheat_Yield_Data!C88</f>
        <v>277200</v>
      </c>
      <c r="D88" s="3" t="n">
        <f aca="false">Wheat_Yield_Data!D88</f>
        <v>864940</v>
      </c>
      <c r="E88" s="4" t="n">
        <f aca="false">Wheat_Yield_Data!E88</f>
        <v>3120</v>
      </c>
      <c r="F88" s="6" t="s">
        <v>104</v>
      </c>
      <c r="G88" s="2" t="s">
        <v>18</v>
      </c>
      <c r="H88" s="6" t="s">
        <v>99</v>
      </c>
      <c r="I88" s="2" t="s">
        <v>100</v>
      </c>
      <c r="J88" s="6" t="s">
        <v>202</v>
      </c>
    </row>
    <row r="89" customFormat="false" ht="35.05" hidden="false" customHeight="false" outlineLevel="0" collapsed="false">
      <c r="A89" s="2" t="str">
        <f aca="false">Wheat_Yield_Data!A89</f>
        <v>Faisalabad</v>
      </c>
      <c r="B89" s="2" t="str">
        <f aca="false">Wheat_Yield_Data!B89</f>
        <v>2013-14</v>
      </c>
      <c r="C89" s="3" t="n">
        <f aca="false">Wheat_Yield_Data!C89</f>
        <v>301490</v>
      </c>
      <c r="D89" s="3" t="n">
        <f aca="false">Wheat_Yield_Data!D89</f>
        <v>949880</v>
      </c>
      <c r="E89" s="4" t="n">
        <f aca="false">Wheat_Yield_Data!E89</f>
        <v>3151</v>
      </c>
      <c r="F89" s="6" t="s">
        <v>106</v>
      </c>
      <c r="G89" s="2" t="s">
        <v>18</v>
      </c>
      <c r="H89" s="6" t="s">
        <v>99</v>
      </c>
      <c r="I89" s="2" t="s">
        <v>100</v>
      </c>
      <c r="J89" s="6" t="s">
        <v>203</v>
      </c>
    </row>
    <row r="90" customFormat="false" ht="35.05" hidden="false" customHeight="false" outlineLevel="0" collapsed="false">
      <c r="A90" s="2" t="str">
        <f aca="false">Wheat_Yield_Data!A90</f>
        <v>Faisalabad</v>
      </c>
      <c r="B90" s="2" t="str">
        <f aca="false">Wheat_Yield_Data!B90</f>
        <v>2014-15</v>
      </c>
      <c r="C90" s="3" t="n">
        <f aca="false">Wheat_Yield_Data!C90</f>
        <v>305530</v>
      </c>
      <c r="D90" s="3" t="n">
        <f aca="false">Wheat_Yield_Data!D90</f>
        <v>977570</v>
      </c>
      <c r="E90" s="4" t="n">
        <f aca="false">Wheat_Yield_Data!E90</f>
        <v>3200</v>
      </c>
      <c r="F90" s="6" t="s">
        <v>108</v>
      </c>
      <c r="G90" s="2" t="s">
        <v>23</v>
      </c>
      <c r="H90" s="6" t="s">
        <v>99</v>
      </c>
      <c r="I90" s="2" t="s">
        <v>100</v>
      </c>
      <c r="J90" s="6" t="s">
        <v>204</v>
      </c>
    </row>
    <row r="91" customFormat="false" ht="35.05" hidden="false" customHeight="false" outlineLevel="0" collapsed="false">
      <c r="A91" s="2" t="str">
        <f aca="false">Wheat_Yield_Data!A91</f>
        <v>Faisalabad</v>
      </c>
      <c r="B91" s="2" t="str">
        <f aca="false">Wheat_Yield_Data!B91</f>
        <v>2015-16</v>
      </c>
      <c r="C91" s="3" t="n">
        <f aca="false">Wheat_Yield_Data!C91</f>
        <v>300670</v>
      </c>
      <c r="D91" s="3" t="n">
        <f aca="false">Wheat_Yield_Data!D91</f>
        <v>944830</v>
      </c>
      <c r="E91" s="4" t="n">
        <f aca="false">Wheat_Yield_Data!E91</f>
        <v>3142</v>
      </c>
      <c r="F91" s="6" t="s">
        <v>110</v>
      </c>
      <c r="G91" s="2" t="s">
        <v>23</v>
      </c>
      <c r="H91" s="6" t="s">
        <v>99</v>
      </c>
      <c r="I91" s="2" t="s">
        <v>100</v>
      </c>
      <c r="J91" s="6" t="s">
        <v>205</v>
      </c>
    </row>
    <row r="92" customFormat="false" ht="46.25" hidden="false" customHeight="false" outlineLevel="0" collapsed="false">
      <c r="A92" s="2" t="str">
        <f aca="false">Wheat_Yield_Data!A92</f>
        <v>Faisalabad</v>
      </c>
      <c r="B92" s="2" t="str">
        <f aca="false">Wheat_Yield_Data!B92</f>
        <v>2016-17</v>
      </c>
      <c r="C92" s="3" t="n">
        <f aca="false">Wheat_Yield_Data!C92</f>
        <v>288940</v>
      </c>
      <c r="D92" s="3" t="n">
        <f aca="false">Wheat_Yield_Data!D92</f>
        <v>947130</v>
      </c>
      <c r="E92" s="4" t="n">
        <f aca="false">Wheat_Yield_Data!E92</f>
        <v>3278</v>
      </c>
      <c r="F92" s="6" t="s">
        <v>113</v>
      </c>
      <c r="G92" s="2" t="s">
        <v>29</v>
      </c>
      <c r="H92" s="6" t="s">
        <v>114</v>
      </c>
      <c r="I92" s="2" t="s">
        <v>100</v>
      </c>
      <c r="J92" s="6" t="s">
        <v>206</v>
      </c>
    </row>
    <row r="93" customFormat="false" ht="46.25" hidden="false" customHeight="false" outlineLevel="0" collapsed="false">
      <c r="A93" s="2" t="str">
        <f aca="false">Wheat_Yield_Data!A93</f>
        <v>Faisalabad</v>
      </c>
      <c r="B93" s="2" t="str">
        <f aca="false">Wheat_Yield_Data!B93</f>
        <v>2017-18</v>
      </c>
      <c r="C93" s="3" t="n">
        <f aca="false">Wheat_Yield_Data!C93</f>
        <v>268710</v>
      </c>
      <c r="D93" s="3" t="n">
        <f aca="false">Wheat_Yield_Data!D93</f>
        <v>861480</v>
      </c>
      <c r="E93" s="4" t="n">
        <f aca="false">Wheat_Yield_Data!E93</f>
        <v>3206</v>
      </c>
      <c r="F93" s="6" t="s">
        <v>116</v>
      </c>
      <c r="G93" s="2" t="s">
        <v>29</v>
      </c>
      <c r="H93" s="6" t="s">
        <v>114</v>
      </c>
      <c r="I93" s="2" t="s">
        <v>100</v>
      </c>
      <c r="J93" s="6" t="s">
        <v>207</v>
      </c>
    </row>
    <row r="94" customFormat="false" ht="46.25" hidden="false" customHeight="false" outlineLevel="0" collapsed="false">
      <c r="A94" s="2" t="str">
        <f aca="false">Wheat_Yield_Data!A94</f>
        <v>Faisalabad</v>
      </c>
      <c r="B94" s="2" t="str">
        <f aca="false">Wheat_Yield_Data!B94</f>
        <v>2018-19</v>
      </c>
      <c r="C94" s="3" t="n">
        <f aca="false">Wheat_Yield_Data!C94</f>
        <v>269920</v>
      </c>
      <c r="D94" s="3" t="n">
        <f aca="false">Wheat_Yield_Data!D94</f>
        <v>844950</v>
      </c>
      <c r="E94" s="4" t="n">
        <f aca="false">Wheat_Yield_Data!E94</f>
        <v>3130</v>
      </c>
      <c r="F94" s="6" t="s">
        <v>118</v>
      </c>
      <c r="G94" s="2" t="s">
        <v>34</v>
      </c>
      <c r="H94" s="6" t="s">
        <v>114</v>
      </c>
      <c r="I94" s="2" t="s">
        <v>100</v>
      </c>
      <c r="J94" s="6" t="s">
        <v>208</v>
      </c>
    </row>
    <row r="95" customFormat="false" ht="35.05" hidden="false" customHeight="false" outlineLevel="0" collapsed="false">
      <c r="A95" s="2" t="str">
        <f aca="false">Wheat_Yield_Data!A95</f>
        <v>Faisalabad</v>
      </c>
      <c r="B95" s="2" t="str">
        <f aca="false">Wheat_Yield_Data!B95</f>
        <v>2020-21</v>
      </c>
      <c r="C95" s="3" t="n">
        <f aca="false">Wheat_Yield_Data!C95</f>
        <v>254540</v>
      </c>
      <c r="D95" s="3" t="n">
        <f aca="false">Wheat_Yield_Data!D95</f>
        <v>844620</v>
      </c>
      <c r="E95" s="4" t="n">
        <f aca="false">Wheat_Yield_Data!E95</f>
        <v>3318</v>
      </c>
      <c r="F95" s="6" t="s">
        <v>120</v>
      </c>
      <c r="G95" s="2" t="s">
        <v>37</v>
      </c>
      <c r="H95" s="6" t="s">
        <v>121</v>
      </c>
      <c r="I95" s="2" t="s">
        <v>100</v>
      </c>
      <c r="J95" s="6" t="s">
        <v>209</v>
      </c>
    </row>
    <row r="96" customFormat="false" ht="35.05" hidden="false" customHeight="false" outlineLevel="0" collapsed="false">
      <c r="A96" s="2" t="str">
        <f aca="false">Wheat_Yield_Data!A96</f>
        <v>Faisalabad</v>
      </c>
      <c r="B96" s="2" t="str">
        <f aca="false">Wheat_Yield_Data!B96</f>
        <v>2021-22</v>
      </c>
      <c r="C96" s="3" t="n">
        <f aca="false">Wheat_Yield_Data!C96</f>
        <v>240780</v>
      </c>
      <c r="D96" s="3" t="n">
        <f aca="false">Wheat_Yield_Data!D96</f>
        <v>788730</v>
      </c>
      <c r="E96" s="4" t="n">
        <f aca="false">Wheat_Yield_Data!E96</f>
        <v>3276</v>
      </c>
      <c r="F96" s="6" t="s">
        <v>123</v>
      </c>
      <c r="G96" s="2" t="s">
        <v>37</v>
      </c>
      <c r="H96" s="6" t="s">
        <v>121</v>
      </c>
      <c r="I96" s="2" t="s">
        <v>100</v>
      </c>
      <c r="J96" s="6" t="s">
        <v>210</v>
      </c>
    </row>
    <row r="97" customFormat="false" ht="23.85" hidden="false" customHeight="false" outlineLevel="0" collapsed="false">
      <c r="A97" s="2" t="str">
        <f aca="false">Wheat_Yield_Data!A97</f>
        <v>Faisalabad</v>
      </c>
      <c r="B97" s="2" t="str">
        <f aca="false">Wheat_Yield_Data!B97</f>
        <v>2022-23</v>
      </c>
      <c r="C97" s="3" t="n">
        <f aca="false">Wheat_Yield_Data!C97</f>
        <v>233100</v>
      </c>
      <c r="D97" s="3" t="n">
        <f aca="false">Wheat_Yield_Data!D97</f>
        <v>852900</v>
      </c>
      <c r="E97" s="4" t="n">
        <f aca="false">Wheat_Yield_Data!E97</f>
        <v>3659</v>
      </c>
      <c r="F97" s="6" t="s">
        <v>125</v>
      </c>
      <c r="G97" s="2" t="s">
        <v>43</v>
      </c>
      <c r="H97" s="6" t="s">
        <v>126</v>
      </c>
      <c r="I97" s="2" t="s">
        <v>100</v>
      </c>
      <c r="J97" s="6" t="s">
        <v>211</v>
      </c>
    </row>
    <row r="98" customFormat="false" ht="35.05" hidden="false" customHeight="false" outlineLevel="0" collapsed="false">
      <c r="A98" s="2" t="str">
        <f aca="false">Wheat_Yield_Data!A98</f>
        <v>Gujranwala</v>
      </c>
      <c r="B98" s="2" t="str">
        <f aca="false">Wheat_Yield_Data!B98</f>
        <v>2010-11</v>
      </c>
      <c r="C98" s="3" t="n">
        <f aca="false">Wheat_Yield_Data!C98</f>
        <v>233100</v>
      </c>
      <c r="D98" s="3" t="n">
        <f aca="false">Wheat_Yield_Data!D98</f>
        <v>732830</v>
      </c>
      <c r="E98" s="4" t="n">
        <f aca="false">Wheat_Yield_Data!E98</f>
        <v>3144</v>
      </c>
      <c r="F98" s="6" t="s">
        <v>98</v>
      </c>
      <c r="G98" s="2" t="s">
        <v>11</v>
      </c>
      <c r="H98" s="6" t="s">
        <v>99</v>
      </c>
      <c r="I98" s="2" t="s">
        <v>100</v>
      </c>
      <c r="J98" s="6" t="s">
        <v>212</v>
      </c>
    </row>
    <row r="99" customFormat="false" ht="35.05" hidden="false" customHeight="false" outlineLevel="0" collapsed="false">
      <c r="A99" s="2" t="str">
        <f aca="false">Wheat_Yield_Data!A99</f>
        <v>Gujranwala</v>
      </c>
      <c r="B99" s="2" t="str">
        <f aca="false">Wheat_Yield_Data!B99</f>
        <v>2011-12</v>
      </c>
      <c r="C99" s="3" t="n">
        <f aca="false">Wheat_Yield_Data!C99</f>
        <v>236330</v>
      </c>
      <c r="D99" s="3" t="n">
        <f aca="false">Wheat_Yield_Data!D99</f>
        <v>823290</v>
      </c>
      <c r="E99" s="4" t="n">
        <f aca="false">Wheat_Yield_Data!E99</f>
        <v>3484</v>
      </c>
      <c r="F99" s="6" t="s">
        <v>102</v>
      </c>
      <c r="G99" s="2" t="s">
        <v>11</v>
      </c>
      <c r="H99" s="6" t="s">
        <v>99</v>
      </c>
      <c r="I99" s="2" t="s">
        <v>100</v>
      </c>
      <c r="J99" s="6" t="s">
        <v>213</v>
      </c>
    </row>
    <row r="100" customFormat="false" ht="46.25" hidden="false" customHeight="false" outlineLevel="0" collapsed="false">
      <c r="A100" s="2" t="str">
        <f aca="false">Wheat_Yield_Data!A100</f>
        <v>Gujranwala</v>
      </c>
      <c r="B100" s="2" t="str">
        <f aca="false">Wheat_Yield_Data!B100</f>
        <v>2012-13</v>
      </c>
      <c r="C100" s="3" t="n">
        <f aca="false">Wheat_Yield_Data!C100</f>
        <v>232690</v>
      </c>
      <c r="D100" s="3" t="n">
        <f aca="false">Wheat_Yield_Data!D100</f>
        <v>736130</v>
      </c>
      <c r="E100" s="4" t="n">
        <f aca="false">Wheat_Yield_Data!E100</f>
        <v>3164</v>
      </c>
      <c r="F100" s="6" t="s">
        <v>104</v>
      </c>
      <c r="G100" s="2" t="s">
        <v>18</v>
      </c>
      <c r="H100" s="6" t="s">
        <v>99</v>
      </c>
      <c r="I100" s="2" t="s">
        <v>100</v>
      </c>
      <c r="J100" s="6" t="s">
        <v>214</v>
      </c>
    </row>
    <row r="101" customFormat="false" ht="35.05" hidden="false" customHeight="false" outlineLevel="0" collapsed="false">
      <c r="A101" s="2" t="str">
        <f aca="false">Wheat_Yield_Data!A101</f>
        <v>Gujranwala</v>
      </c>
      <c r="B101" s="2" t="str">
        <f aca="false">Wheat_Yield_Data!B101</f>
        <v>2013-14</v>
      </c>
      <c r="C101" s="3" t="n">
        <f aca="false">Wheat_Yield_Data!C101</f>
        <v>238360</v>
      </c>
      <c r="D101" s="3" t="n">
        <f aca="false">Wheat_Yield_Data!D101</f>
        <v>755990</v>
      </c>
      <c r="E101" s="4" t="n">
        <f aca="false">Wheat_Yield_Data!E101</f>
        <v>3172</v>
      </c>
      <c r="F101" s="6" t="s">
        <v>106</v>
      </c>
      <c r="G101" s="2" t="s">
        <v>18</v>
      </c>
      <c r="H101" s="6" t="s">
        <v>99</v>
      </c>
      <c r="I101" s="2" t="s">
        <v>100</v>
      </c>
      <c r="J101" s="6" t="s">
        <v>215</v>
      </c>
    </row>
    <row r="102" customFormat="false" ht="35.05" hidden="false" customHeight="false" outlineLevel="0" collapsed="false">
      <c r="A102" s="2" t="str">
        <f aca="false">Wheat_Yield_Data!A102</f>
        <v>Gujranwala</v>
      </c>
      <c r="B102" s="2" t="str">
        <f aca="false">Wheat_Yield_Data!B102</f>
        <v>2014-15</v>
      </c>
      <c r="C102" s="3" t="n">
        <f aca="false">Wheat_Yield_Data!C102</f>
        <v>233100</v>
      </c>
      <c r="D102" s="3" t="n">
        <f aca="false">Wheat_Yield_Data!D102</f>
        <v>633450</v>
      </c>
      <c r="E102" s="4" t="n">
        <f aca="false">Wheat_Yield_Data!E102</f>
        <v>2717</v>
      </c>
      <c r="F102" s="6" t="s">
        <v>108</v>
      </c>
      <c r="G102" s="2" t="s">
        <v>23</v>
      </c>
      <c r="H102" s="6" t="s">
        <v>99</v>
      </c>
      <c r="I102" s="2" t="s">
        <v>100</v>
      </c>
      <c r="J102" s="6" t="s">
        <v>216</v>
      </c>
    </row>
    <row r="103" customFormat="false" ht="46.25" hidden="false" customHeight="false" outlineLevel="0" collapsed="false">
      <c r="A103" s="2" t="str">
        <f aca="false">Wheat_Yield_Data!A103</f>
        <v>Gujranwala</v>
      </c>
      <c r="B103" s="2" t="str">
        <f aca="false">Wheat_Yield_Data!B103</f>
        <v>2015-16</v>
      </c>
      <c r="C103" s="3" t="n">
        <f aca="false">Wheat_Yield_Data!C103</f>
        <v>225410</v>
      </c>
      <c r="D103" s="3" t="n">
        <f aca="false">Wheat_Yield_Data!D103</f>
        <v>666550</v>
      </c>
      <c r="E103" s="5" t="n">
        <f aca="false">Wheat_Yield_Data!E103</f>
        <v>2957.05603123198</v>
      </c>
      <c r="F103" s="6" t="s">
        <v>110</v>
      </c>
      <c r="G103" s="2" t="s">
        <v>23</v>
      </c>
      <c r="H103" s="6" t="s">
        <v>99</v>
      </c>
      <c r="I103" s="2" t="s">
        <v>111</v>
      </c>
      <c r="J103" s="6" t="s">
        <v>217</v>
      </c>
    </row>
    <row r="104" customFormat="false" ht="46.25" hidden="false" customHeight="false" outlineLevel="0" collapsed="false">
      <c r="A104" s="2" t="str">
        <f aca="false">Wheat_Yield_Data!A104</f>
        <v>Gujranwala</v>
      </c>
      <c r="B104" s="2" t="str">
        <f aca="false">Wheat_Yield_Data!B104</f>
        <v>2016-17</v>
      </c>
      <c r="C104" s="3" t="n">
        <f aca="false">Wheat_Yield_Data!C104</f>
        <v>222980</v>
      </c>
      <c r="D104" s="3" t="n">
        <f aca="false">Wheat_Yield_Data!D104</f>
        <v>669190</v>
      </c>
      <c r="E104" s="4" t="n">
        <f aca="false">Wheat_Yield_Data!E104</f>
        <v>3001</v>
      </c>
      <c r="F104" s="6" t="s">
        <v>113</v>
      </c>
      <c r="G104" s="2" t="s">
        <v>29</v>
      </c>
      <c r="H104" s="6" t="s">
        <v>114</v>
      </c>
      <c r="I104" s="2" t="s">
        <v>100</v>
      </c>
      <c r="J104" s="6" t="s">
        <v>218</v>
      </c>
    </row>
    <row r="105" customFormat="false" ht="46.25" hidden="false" customHeight="false" outlineLevel="0" collapsed="false">
      <c r="A105" s="2" t="str">
        <f aca="false">Wheat_Yield_Data!A105</f>
        <v>Gujranwala</v>
      </c>
      <c r="B105" s="2" t="str">
        <f aca="false">Wheat_Yield_Data!B105</f>
        <v>2017-18</v>
      </c>
      <c r="C105" s="3" t="n">
        <f aca="false">Wheat_Yield_Data!C105</f>
        <v>219340</v>
      </c>
      <c r="D105" s="3" t="n">
        <f aca="false">Wheat_Yield_Data!D105</f>
        <v>693480</v>
      </c>
      <c r="E105" s="4" t="n">
        <f aca="false">Wheat_Yield_Data!E105</f>
        <v>3162</v>
      </c>
      <c r="F105" s="6" t="s">
        <v>116</v>
      </c>
      <c r="G105" s="2" t="s">
        <v>29</v>
      </c>
      <c r="H105" s="6" t="s">
        <v>114</v>
      </c>
      <c r="I105" s="2" t="s">
        <v>100</v>
      </c>
      <c r="J105" s="6" t="s">
        <v>219</v>
      </c>
    </row>
    <row r="106" customFormat="false" ht="46.25" hidden="false" customHeight="false" outlineLevel="0" collapsed="false">
      <c r="A106" s="2" t="str">
        <f aca="false">Wheat_Yield_Data!A106</f>
        <v>Gujranwala</v>
      </c>
      <c r="B106" s="2" t="str">
        <f aca="false">Wheat_Yield_Data!B106</f>
        <v>2018-19</v>
      </c>
      <c r="C106" s="3" t="n">
        <f aca="false">Wheat_Yield_Data!C106</f>
        <v>220950</v>
      </c>
      <c r="D106" s="3" t="n">
        <f aca="false">Wheat_Yield_Data!D106</f>
        <v>584880</v>
      </c>
      <c r="E106" s="4" t="n">
        <f aca="false">Wheat_Yield_Data!E106</f>
        <v>2647</v>
      </c>
      <c r="F106" s="6" t="s">
        <v>118</v>
      </c>
      <c r="G106" s="2" t="s">
        <v>34</v>
      </c>
      <c r="H106" s="6" t="s">
        <v>114</v>
      </c>
      <c r="I106" s="2" t="s">
        <v>100</v>
      </c>
      <c r="J106" s="6" t="s">
        <v>220</v>
      </c>
    </row>
    <row r="107" customFormat="false" ht="35.05" hidden="false" customHeight="false" outlineLevel="0" collapsed="false">
      <c r="A107" s="2" t="str">
        <f aca="false">Wheat_Yield_Data!A107</f>
        <v>Gujranwala</v>
      </c>
      <c r="B107" s="2" t="str">
        <f aca="false">Wheat_Yield_Data!B107</f>
        <v>2020-21</v>
      </c>
      <c r="C107" s="3" t="n">
        <f aca="false">Wheat_Yield_Data!C107</f>
        <v>226620</v>
      </c>
      <c r="D107" s="3" t="n">
        <f aca="false">Wheat_Yield_Data!D107</f>
        <v>719710</v>
      </c>
      <c r="E107" s="4" t="n">
        <f aca="false">Wheat_Yield_Data!E107</f>
        <v>3176</v>
      </c>
      <c r="F107" s="6" t="s">
        <v>120</v>
      </c>
      <c r="G107" s="2" t="s">
        <v>37</v>
      </c>
      <c r="H107" s="6" t="s">
        <v>121</v>
      </c>
      <c r="I107" s="2" t="s">
        <v>100</v>
      </c>
      <c r="J107" s="6" t="s">
        <v>221</v>
      </c>
    </row>
    <row r="108" customFormat="false" ht="35.05" hidden="false" customHeight="false" outlineLevel="0" collapsed="false">
      <c r="A108" s="2" t="str">
        <f aca="false">Wheat_Yield_Data!A108</f>
        <v>Gujranwala</v>
      </c>
      <c r="B108" s="2" t="str">
        <f aca="false">Wheat_Yield_Data!B108</f>
        <v>2021-22</v>
      </c>
      <c r="C108" s="3" t="n">
        <f aca="false">Wheat_Yield_Data!C108</f>
        <v>230670</v>
      </c>
      <c r="D108" s="3" t="n">
        <f aca="false">Wheat_Yield_Data!D108</f>
        <v>685140</v>
      </c>
      <c r="E108" s="4" t="n">
        <f aca="false">Wheat_Yield_Data!E108</f>
        <v>2970</v>
      </c>
      <c r="F108" s="6" t="s">
        <v>123</v>
      </c>
      <c r="G108" s="2" t="s">
        <v>37</v>
      </c>
      <c r="H108" s="6" t="s">
        <v>121</v>
      </c>
      <c r="I108" s="2" t="s">
        <v>100</v>
      </c>
      <c r="J108" s="6" t="s">
        <v>222</v>
      </c>
    </row>
    <row r="109" customFormat="false" ht="35.05" hidden="false" customHeight="false" outlineLevel="0" collapsed="false">
      <c r="A109" s="2" t="str">
        <f aca="false">Wheat_Yield_Data!A109</f>
        <v>Gujranwala</v>
      </c>
      <c r="B109" s="2" t="str">
        <f aca="false">Wheat_Yield_Data!B109</f>
        <v>2022-23</v>
      </c>
      <c r="C109" s="3" t="n">
        <f aca="false">Wheat_Yield_Data!C109</f>
        <v>162300</v>
      </c>
      <c r="D109" s="3" t="n">
        <f aca="false">Wheat_Yield_Data!D109</f>
        <v>544600</v>
      </c>
      <c r="E109" s="4" t="n">
        <f aca="false">Wheat_Yield_Data!E109</f>
        <v>3356</v>
      </c>
      <c r="F109" s="6" t="s">
        <v>125</v>
      </c>
      <c r="G109" s="2" t="s">
        <v>43</v>
      </c>
      <c r="H109" s="6" t="s">
        <v>126</v>
      </c>
      <c r="I109" s="2" t="s">
        <v>100</v>
      </c>
      <c r="J109" s="6" t="s">
        <v>223</v>
      </c>
    </row>
    <row r="110" customFormat="false" ht="35.05" hidden="false" customHeight="false" outlineLevel="0" collapsed="false">
      <c r="A110" s="2" t="str">
        <f aca="false">Wheat_Yield_Data!A110</f>
        <v>Gujrat</v>
      </c>
      <c r="B110" s="2" t="str">
        <f aca="false">Wheat_Yield_Data!B110</f>
        <v>2010-11</v>
      </c>
      <c r="C110" s="3" t="n">
        <f aca="false">Wheat_Yield_Data!C110</f>
        <v>151350</v>
      </c>
      <c r="D110" s="3" t="n">
        <f aca="false">Wheat_Yield_Data!D110</f>
        <v>288500</v>
      </c>
      <c r="E110" s="4" t="n">
        <f aca="false">Wheat_Yield_Data!E110</f>
        <v>1906</v>
      </c>
      <c r="F110" s="6" t="s">
        <v>98</v>
      </c>
      <c r="G110" s="2" t="s">
        <v>11</v>
      </c>
      <c r="H110" s="6" t="s">
        <v>99</v>
      </c>
      <c r="I110" s="2" t="s">
        <v>100</v>
      </c>
      <c r="J110" s="6" t="s">
        <v>224</v>
      </c>
    </row>
    <row r="111" customFormat="false" ht="35.05" hidden="false" customHeight="false" outlineLevel="0" collapsed="false">
      <c r="A111" s="2" t="str">
        <f aca="false">Wheat_Yield_Data!A111</f>
        <v>Gujrat</v>
      </c>
      <c r="B111" s="2" t="str">
        <f aca="false">Wheat_Yield_Data!B111</f>
        <v>2011-12</v>
      </c>
      <c r="C111" s="3" t="n">
        <f aca="false">Wheat_Yield_Data!C111</f>
        <v>150940</v>
      </c>
      <c r="D111" s="3" t="n">
        <f aca="false">Wheat_Yield_Data!D111</f>
        <v>266460</v>
      </c>
      <c r="E111" s="4" t="n">
        <f aca="false">Wheat_Yield_Data!E111</f>
        <v>1765</v>
      </c>
      <c r="F111" s="6" t="s">
        <v>102</v>
      </c>
      <c r="G111" s="2" t="s">
        <v>11</v>
      </c>
      <c r="H111" s="6" t="s">
        <v>99</v>
      </c>
      <c r="I111" s="2" t="s">
        <v>100</v>
      </c>
      <c r="J111" s="6" t="s">
        <v>225</v>
      </c>
    </row>
    <row r="112" customFormat="false" ht="46.25" hidden="false" customHeight="false" outlineLevel="0" collapsed="false">
      <c r="A112" s="2" t="str">
        <f aca="false">Wheat_Yield_Data!A112</f>
        <v>Gujrat</v>
      </c>
      <c r="B112" s="2" t="str">
        <f aca="false">Wheat_Yield_Data!B112</f>
        <v>2012-13</v>
      </c>
      <c r="C112" s="3" t="n">
        <f aca="false">Wheat_Yield_Data!C112</f>
        <v>150940</v>
      </c>
      <c r="D112" s="3" t="n">
        <f aca="false">Wheat_Yield_Data!D112</f>
        <v>290850</v>
      </c>
      <c r="E112" s="4" t="n">
        <f aca="false">Wheat_Yield_Data!E112</f>
        <v>1927</v>
      </c>
      <c r="F112" s="6" t="s">
        <v>104</v>
      </c>
      <c r="G112" s="2" t="s">
        <v>18</v>
      </c>
      <c r="H112" s="6" t="s">
        <v>99</v>
      </c>
      <c r="I112" s="2" t="s">
        <v>100</v>
      </c>
      <c r="J112" s="6" t="s">
        <v>226</v>
      </c>
    </row>
    <row r="113" customFormat="false" ht="35.05" hidden="false" customHeight="false" outlineLevel="0" collapsed="false">
      <c r="A113" s="2" t="str">
        <f aca="false">Wheat_Yield_Data!A113</f>
        <v>Gujrat</v>
      </c>
      <c r="B113" s="2" t="str">
        <f aca="false">Wheat_Yield_Data!B113</f>
        <v>2013-14</v>
      </c>
      <c r="C113" s="3" t="n">
        <f aca="false">Wheat_Yield_Data!C113</f>
        <v>154180</v>
      </c>
      <c r="D113" s="3" t="n">
        <f aca="false">Wheat_Yield_Data!D113</f>
        <v>275380</v>
      </c>
      <c r="E113" s="4" t="n">
        <f aca="false">Wheat_Yield_Data!E113</f>
        <v>1786</v>
      </c>
      <c r="F113" s="6" t="s">
        <v>106</v>
      </c>
      <c r="G113" s="2" t="s">
        <v>18</v>
      </c>
      <c r="H113" s="6" t="s">
        <v>99</v>
      </c>
      <c r="I113" s="2" t="s">
        <v>100</v>
      </c>
      <c r="J113" s="6" t="s">
        <v>227</v>
      </c>
    </row>
    <row r="114" customFormat="false" ht="35.05" hidden="false" customHeight="false" outlineLevel="0" collapsed="false">
      <c r="A114" s="2" t="str">
        <f aca="false">Wheat_Yield_Data!A114</f>
        <v>Gujrat</v>
      </c>
      <c r="B114" s="2" t="str">
        <f aca="false">Wheat_Yield_Data!B114</f>
        <v>2014-15</v>
      </c>
      <c r="C114" s="3" t="n">
        <f aca="false">Wheat_Yield_Data!C114</f>
        <v>158630</v>
      </c>
      <c r="D114" s="3" t="n">
        <f aca="false">Wheat_Yield_Data!D114</f>
        <v>243720</v>
      </c>
      <c r="E114" s="4" t="n">
        <f aca="false">Wheat_Yield_Data!E114</f>
        <v>1537</v>
      </c>
      <c r="F114" s="6" t="s">
        <v>108</v>
      </c>
      <c r="G114" s="2" t="s">
        <v>23</v>
      </c>
      <c r="H114" s="6" t="s">
        <v>99</v>
      </c>
      <c r="I114" s="2" t="s">
        <v>100</v>
      </c>
      <c r="J114" s="6" t="s">
        <v>228</v>
      </c>
    </row>
    <row r="115" customFormat="false" ht="46.25" hidden="false" customHeight="false" outlineLevel="0" collapsed="false">
      <c r="A115" s="2" t="str">
        <f aca="false">Wheat_Yield_Data!A115</f>
        <v>Gujrat</v>
      </c>
      <c r="B115" s="2" t="str">
        <f aca="false">Wheat_Yield_Data!B115</f>
        <v>2015-16</v>
      </c>
      <c r="C115" s="3" t="n">
        <f aca="false">Wheat_Yield_Data!C115</f>
        <v>151760</v>
      </c>
      <c r="D115" s="3" t="n">
        <f aca="false">Wheat_Yield_Data!D115</f>
        <v>257230</v>
      </c>
      <c r="E115" s="5" t="n">
        <f aca="false">Wheat_Yield_Data!E115</f>
        <v>1694.97891407486</v>
      </c>
      <c r="F115" s="6" t="s">
        <v>110</v>
      </c>
      <c r="G115" s="2" t="s">
        <v>23</v>
      </c>
      <c r="H115" s="6" t="s">
        <v>99</v>
      </c>
      <c r="I115" s="2" t="s">
        <v>111</v>
      </c>
      <c r="J115" s="6" t="s">
        <v>229</v>
      </c>
    </row>
    <row r="116" customFormat="false" ht="46.25" hidden="false" customHeight="false" outlineLevel="0" collapsed="false">
      <c r="A116" s="2" t="str">
        <f aca="false">Wheat_Yield_Data!A116</f>
        <v>Gujrat</v>
      </c>
      <c r="B116" s="2" t="str">
        <f aca="false">Wheat_Yield_Data!B116</f>
        <v>2016-17</v>
      </c>
      <c r="C116" s="3" t="n">
        <f aca="false">Wheat_Yield_Data!C116</f>
        <v>152560</v>
      </c>
      <c r="D116" s="3" t="n">
        <f aca="false">Wheat_Yield_Data!D116</f>
        <v>281960</v>
      </c>
      <c r="E116" s="4" t="n">
        <f aca="false">Wheat_Yield_Data!E116</f>
        <v>1848</v>
      </c>
      <c r="F116" s="6" t="s">
        <v>113</v>
      </c>
      <c r="G116" s="2" t="s">
        <v>29</v>
      </c>
      <c r="H116" s="6" t="s">
        <v>114</v>
      </c>
      <c r="I116" s="2" t="s">
        <v>100</v>
      </c>
      <c r="J116" s="6" t="s">
        <v>230</v>
      </c>
    </row>
    <row r="117" customFormat="false" ht="46.25" hidden="false" customHeight="false" outlineLevel="0" collapsed="false">
      <c r="A117" s="2" t="str">
        <f aca="false">Wheat_Yield_Data!A117</f>
        <v>Gujrat</v>
      </c>
      <c r="B117" s="2" t="str">
        <f aca="false">Wheat_Yield_Data!B117</f>
        <v>2017-18</v>
      </c>
      <c r="C117" s="3" t="n">
        <f aca="false">Wheat_Yield_Data!C117</f>
        <v>152560</v>
      </c>
      <c r="D117" s="3" t="n">
        <f aca="false">Wheat_Yield_Data!D117</f>
        <v>307660</v>
      </c>
      <c r="E117" s="4" t="n">
        <f aca="false">Wheat_Yield_Data!E117</f>
        <v>2016</v>
      </c>
      <c r="F117" s="6" t="s">
        <v>116</v>
      </c>
      <c r="G117" s="2" t="s">
        <v>29</v>
      </c>
      <c r="H117" s="6" t="s">
        <v>114</v>
      </c>
      <c r="I117" s="2" t="s">
        <v>100</v>
      </c>
      <c r="J117" s="6" t="s">
        <v>231</v>
      </c>
    </row>
    <row r="118" customFormat="false" ht="46.25" hidden="false" customHeight="false" outlineLevel="0" collapsed="false">
      <c r="A118" s="2" t="str">
        <f aca="false">Wheat_Yield_Data!A118</f>
        <v>Gujrat</v>
      </c>
      <c r="B118" s="2" t="str">
        <f aca="false">Wheat_Yield_Data!B118</f>
        <v>2018-19</v>
      </c>
      <c r="C118" s="3" t="n">
        <f aca="false">Wheat_Yield_Data!C118</f>
        <v>151350</v>
      </c>
      <c r="D118" s="3" t="n">
        <f aca="false">Wheat_Yield_Data!D118</f>
        <v>240180</v>
      </c>
      <c r="E118" s="4" t="n">
        <f aca="false">Wheat_Yield_Data!E118</f>
        <v>1587</v>
      </c>
      <c r="F118" s="6" t="s">
        <v>118</v>
      </c>
      <c r="G118" s="2" t="s">
        <v>34</v>
      </c>
      <c r="H118" s="6" t="s">
        <v>114</v>
      </c>
      <c r="I118" s="2" t="s">
        <v>100</v>
      </c>
      <c r="J118" s="6" t="s">
        <v>232</v>
      </c>
    </row>
    <row r="119" customFormat="false" ht="35.05" hidden="false" customHeight="false" outlineLevel="0" collapsed="false">
      <c r="A119" s="2" t="str">
        <f aca="false">Wheat_Yield_Data!A119</f>
        <v>Gujrat</v>
      </c>
      <c r="B119" s="2" t="str">
        <f aca="false">Wheat_Yield_Data!B119</f>
        <v>2020-21</v>
      </c>
      <c r="C119" s="3" t="n">
        <f aca="false">Wheat_Yield_Data!C119</f>
        <v>151760</v>
      </c>
      <c r="D119" s="3" t="n">
        <f aca="false">Wheat_Yield_Data!D119</f>
        <v>341930</v>
      </c>
      <c r="E119" s="4" t="n">
        <f aca="false">Wheat_Yield_Data!E119</f>
        <v>2253</v>
      </c>
      <c r="F119" s="6" t="s">
        <v>120</v>
      </c>
      <c r="G119" s="2" t="s">
        <v>37</v>
      </c>
      <c r="H119" s="6" t="s">
        <v>121</v>
      </c>
      <c r="I119" s="2" t="s">
        <v>100</v>
      </c>
      <c r="J119" s="6" t="s">
        <v>233</v>
      </c>
    </row>
    <row r="120" customFormat="false" ht="35.05" hidden="false" customHeight="false" outlineLevel="0" collapsed="false">
      <c r="A120" s="2" t="str">
        <f aca="false">Wheat_Yield_Data!A120</f>
        <v>Gujrat</v>
      </c>
      <c r="B120" s="2" t="str">
        <f aca="false">Wheat_Yield_Data!B120</f>
        <v>2021-22</v>
      </c>
      <c r="C120" s="3" t="n">
        <f aca="false">Wheat_Yield_Data!C120</f>
        <v>157020</v>
      </c>
      <c r="D120" s="3" t="n">
        <f aca="false">Wheat_Yield_Data!D120</f>
        <v>321880</v>
      </c>
      <c r="E120" s="4" t="n">
        <f aca="false">Wheat_Yield_Data!E120</f>
        <v>2050</v>
      </c>
      <c r="F120" s="6" t="s">
        <v>123</v>
      </c>
      <c r="G120" s="2" t="s">
        <v>37</v>
      </c>
      <c r="H120" s="6" t="s">
        <v>121</v>
      </c>
      <c r="I120" s="2" t="s">
        <v>100</v>
      </c>
      <c r="J120" s="6" t="s">
        <v>234</v>
      </c>
    </row>
    <row r="121" customFormat="false" ht="23.85" hidden="false" customHeight="false" outlineLevel="0" collapsed="false">
      <c r="A121" s="2" t="str">
        <f aca="false">Wheat_Yield_Data!A121</f>
        <v>Gujrat</v>
      </c>
      <c r="B121" s="2" t="str">
        <f aca="false">Wheat_Yield_Data!B121</f>
        <v>2022-23</v>
      </c>
      <c r="C121" s="3" t="n">
        <f aca="false">Wheat_Yield_Data!C121</f>
        <v>159400</v>
      </c>
      <c r="D121" s="3" t="n">
        <f aca="false">Wheat_Yield_Data!D121</f>
        <v>363400</v>
      </c>
      <c r="E121" s="4" t="n">
        <f aca="false">Wheat_Yield_Data!E121</f>
        <v>2279</v>
      </c>
      <c r="F121" s="6" t="s">
        <v>125</v>
      </c>
      <c r="G121" s="2" t="s">
        <v>43</v>
      </c>
      <c r="H121" s="6" t="s">
        <v>126</v>
      </c>
      <c r="I121" s="2" t="s">
        <v>100</v>
      </c>
      <c r="J121" s="6" t="s">
        <v>235</v>
      </c>
    </row>
    <row r="122" customFormat="false" ht="35.05" hidden="false" customHeight="false" outlineLevel="0" collapsed="false">
      <c r="A122" s="2" t="str">
        <f aca="false">Wheat_Yield_Data!A122</f>
        <v>Hafizabad</v>
      </c>
      <c r="B122" s="2" t="str">
        <f aca="false">Wheat_Yield_Data!B122</f>
        <v>2010-11</v>
      </c>
      <c r="C122" s="3" t="n">
        <f aca="false">Wheat_Yield_Data!C122</f>
        <v>152970</v>
      </c>
      <c r="D122" s="3" t="n">
        <f aca="false">Wheat_Yield_Data!D122</f>
        <v>486750</v>
      </c>
      <c r="E122" s="4" t="n">
        <f aca="false">Wheat_Yield_Data!E122</f>
        <v>3182</v>
      </c>
      <c r="F122" s="6" t="s">
        <v>98</v>
      </c>
      <c r="G122" s="2" t="s">
        <v>11</v>
      </c>
      <c r="H122" s="6" t="s">
        <v>99</v>
      </c>
      <c r="I122" s="2" t="s">
        <v>100</v>
      </c>
      <c r="J122" s="6" t="s">
        <v>236</v>
      </c>
    </row>
    <row r="123" customFormat="false" ht="35.05" hidden="false" customHeight="false" outlineLevel="0" collapsed="false">
      <c r="A123" s="2" t="str">
        <f aca="false">Wheat_Yield_Data!A123</f>
        <v>Hafizabad</v>
      </c>
      <c r="B123" s="2" t="str">
        <f aca="false">Wheat_Yield_Data!B123</f>
        <v>2011-12</v>
      </c>
      <c r="C123" s="3" t="n">
        <f aca="false">Wheat_Yield_Data!C123</f>
        <v>153780</v>
      </c>
      <c r="D123" s="3" t="n">
        <f aca="false">Wheat_Yield_Data!D123</f>
        <v>475000</v>
      </c>
      <c r="E123" s="4" t="n">
        <f aca="false">Wheat_Yield_Data!E123</f>
        <v>3089</v>
      </c>
      <c r="F123" s="6" t="s">
        <v>102</v>
      </c>
      <c r="G123" s="2" t="s">
        <v>11</v>
      </c>
      <c r="H123" s="6" t="s">
        <v>99</v>
      </c>
      <c r="I123" s="2" t="s">
        <v>100</v>
      </c>
      <c r="J123" s="6" t="s">
        <v>237</v>
      </c>
    </row>
    <row r="124" customFormat="false" ht="46.25" hidden="false" customHeight="false" outlineLevel="0" collapsed="false">
      <c r="A124" s="2" t="str">
        <f aca="false">Wheat_Yield_Data!A124</f>
        <v>Hafizabad</v>
      </c>
      <c r="B124" s="2" t="str">
        <f aca="false">Wheat_Yield_Data!B124</f>
        <v>2012-13</v>
      </c>
      <c r="C124" s="3" t="n">
        <f aca="false">Wheat_Yield_Data!C124</f>
        <v>155400</v>
      </c>
      <c r="D124" s="3" t="n">
        <f aca="false">Wheat_Yield_Data!D124</f>
        <v>472830</v>
      </c>
      <c r="E124" s="4" t="n">
        <f aca="false">Wheat_Yield_Data!E124</f>
        <v>3043</v>
      </c>
      <c r="F124" s="6" t="s">
        <v>104</v>
      </c>
      <c r="G124" s="2" t="s">
        <v>18</v>
      </c>
      <c r="H124" s="6" t="s">
        <v>99</v>
      </c>
      <c r="I124" s="2" t="s">
        <v>100</v>
      </c>
      <c r="J124" s="6" t="s">
        <v>238</v>
      </c>
    </row>
    <row r="125" customFormat="false" ht="35.05" hidden="false" customHeight="false" outlineLevel="0" collapsed="false">
      <c r="A125" s="2" t="str">
        <f aca="false">Wheat_Yield_Data!A125</f>
        <v>Hafizabad</v>
      </c>
      <c r="B125" s="2" t="str">
        <f aca="false">Wheat_Yield_Data!B125</f>
        <v>2013-14</v>
      </c>
      <c r="C125" s="3" t="n">
        <f aca="false">Wheat_Yield_Data!C125</f>
        <v>157820</v>
      </c>
      <c r="D125" s="3" t="n">
        <f aca="false">Wheat_Yield_Data!D125</f>
        <v>486920</v>
      </c>
      <c r="E125" s="4" t="n">
        <f aca="false">Wheat_Yield_Data!E125</f>
        <v>3085</v>
      </c>
      <c r="F125" s="6" t="s">
        <v>106</v>
      </c>
      <c r="G125" s="2" t="s">
        <v>18</v>
      </c>
      <c r="H125" s="6" t="s">
        <v>99</v>
      </c>
      <c r="I125" s="2" t="s">
        <v>100</v>
      </c>
      <c r="J125" s="6" t="s">
        <v>239</v>
      </c>
    </row>
    <row r="126" customFormat="false" ht="35.05" hidden="false" customHeight="false" outlineLevel="0" collapsed="false">
      <c r="A126" s="2" t="str">
        <f aca="false">Wheat_Yield_Data!A126</f>
        <v>Hafizabad</v>
      </c>
      <c r="B126" s="2" t="str">
        <f aca="false">Wheat_Yield_Data!B126</f>
        <v>2014-15</v>
      </c>
      <c r="C126" s="3" t="n">
        <f aca="false">Wheat_Yield_Data!C126</f>
        <v>163090</v>
      </c>
      <c r="D126" s="3" t="n">
        <f aca="false">Wheat_Yield_Data!D126</f>
        <v>498940</v>
      </c>
      <c r="E126" s="4" t="n">
        <f aca="false">Wheat_Yield_Data!E126</f>
        <v>3059</v>
      </c>
      <c r="F126" s="6" t="s">
        <v>108</v>
      </c>
      <c r="G126" s="2" t="s">
        <v>23</v>
      </c>
      <c r="H126" s="6" t="s">
        <v>99</v>
      </c>
      <c r="I126" s="2" t="s">
        <v>100</v>
      </c>
      <c r="J126" s="6" t="s">
        <v>240</v>
      </c>
    </row>
    <row r="127" customFormat="false" ht="35.05" hidden="false" customHeight="false" outlineLevel="0" collapsed="false">
      <c r="A127" s="2" t="str">
        <f aca="false">Wheat_Yield_Data!A127</f>
        <v>Hafizabad</v>
      </c>
      <c r="B127" s="2" t="str">
        <f aca="false">Wheat_Yield_Data!B127</f>
        <v>2015-16</v>
      </c>
      <c r="C127" s="3" t="n">
        <f aca="false">Wheat_Yield_Data!C127</f>
        <v>156210</v>
      </c>
      <c r="D127" s="3" t="n">
        <f aca="false">Wheat_Yield_Data!D127</f>
        <v>479330</v>
      </c>
      <c r="E127" s="4" t="n">
        <f aca="false">Wheat_Yield_Data!E127</f>
        <v>3069</v>
      </c>
      <c r="F127" s="6" t="s">
        <v>110</v>
      </c>
      <c r="G127" s="2" t="s">
        <v>23</v>
      </c>
      <c r="H127" s="6" t="s">
        <v>99</v>
      </c>
      <c r="I127" s="2" t="s">
        <v>100</v>
      </c>
      <c r="J127" s="6" t="s">
        <v>241</v>
      </c>
    </row>
    <row r="128" customFormat="false" ht="46.25" hidden="false" customHeight="false" outlineLevel="0" collapsed="false">
      <c r="A128" s="2" t="str">
        <f aca="false">Wheat_Yield_Data!A128</f>
        <v>Hafizabad</v>
      </c>
      <c r="B128" s="2" t="str">
        <f aca="false">Wheat_Yield_Data!B128</f>
        <v>2016-17</v>
      </c>
      <c r="C128" s="3" t="n">
        <f aca="false">Wheat_Yield_Data!C128</f>
        <v>163490</v>
      </c>
      <c r="D128" s="3" t="n">
        <f aca="false">Wheat_Yield_Data!D128</f>
        <v>554310</v>
      </c>
      <c r="E128" s="4" t="n">
        <f aca="false">Wheat_Yield_Data!E128</f>
        <v>3390</v>
      </c>
      <c r="F128" s="6" t="s">
        <v>113</v>
      </c>
      <c r="G128" s="2" t="s">
        <v>29</v>
      </c>
      <c r="H128" s="6" t="s">
        <v>114</v>
      </c>
      <c r="I128" s="2" t="s">
        <v>100</v>
      </c>
      <c r="J128" s="6" t="s">
        <v>242</v>
      </c>
    </row>
    <row r="129" customFormat="false" ht="46.25" hidden="false" customHeight="false" outlineLevel="0" collapsed="false">
      <c r="A129" s="2" t="str">
        <f aca="false">Wheat_Yield_Data!A129</f>
        <v>Hafizabad</v>
      </c>
      <c r="B129" s="2" t="str">
        <f aca="false">Wheat_Yield_Data!B129</f>
        <v>2017-18</v>
      </c>
      <c r="C129" s="3" t="n">
        <f aca="false">Wheat_Yield_Data!C129</f>
        <v>159850</v>
      </c>
      <c r="D129" s="3" t="n">
        <f aca="false">Wheat_Yield_Data!D129</f>
        <v>555520</v>
      </c>
      <c r="E129" s="4" t="n">
        <f aca="false">Wheat_Yield_Data!E129</f>
        <v>3475</v>
      </c>
      <c r="F129" s="6" t="s">
        <v>116</v>
      </c>
      <c r="G129" s="2" t="s">
        <v>29</v>
      </c>
      <c r="H129" s="6" t="s">
        <v>114</v>
      </c>
      <c r="I129" s="2" t="s">
        <v>100</v>
      </c>
      <c r="J129" s="6" t="s">
        <v>243</v>
      </c>
    </row>
    <row r="130" customFormat="false" ht="46.25" hidden="false" customHeight="false" outlineLevel="0" collapsed="false">
      <c r="A130" s="2" t="str">
        <f aca="false">Wheat_Yield_Data!A130</f>
        <v>Hafizabad</v>
      </c>
      <c r="B130" s="2" t="str">
        <f aca="false">Wheat_Yield_Data!B130</f>
        <v>2018-19</v>
      </c>
      <c r="C130" s="3" t="n">
        <f aca="false">Wheat_Yield_Data!C130</f>
        <v>165510</v>
      </c>
      <c r="D130" s="3" t="n">
        <f aca="false">Wheat_Yield_Data!D130</f>
        <v>494920</v>
      </c>
      <c r="E130" s="4" t="n">
        <f aca="false">Wheat_Yield_Data!E130</f>
        <v>2990</v>
      </c>
      <c r="F130" s="6" t="s">
        <v>118</v>
      </c>
      <c r="G130" s="2" t="s">
        <v>34</v>
      </c>
      <c r="H130" s="6" t="s">
        <v>114</v>
      </c>
      <c r="I130" s="2" t="s">
        <v>100</v>
      </c>
      <c r="J130" s="6" t="s">
        <v>244</v>
      </c>
    </row>
    <row r="131" customFormat="false" ht="35.05" hidden="false" customHeight="false" outlineLevel="0" collapsed="false">
      <c r="A131" s="2" t="str">
        <f aca="false">Wheat_Yield_Data!A131</f>
        <v>Hafizabad</v>
      </c>
      <c r="B131" s="2" t="str">
        <f aca="false">Wheat_Yield_Data!B131</f>
        <v>2020-21</v>
      </c>
      <c r="C131" s="3" t="n">
        <f aca="false">Wheat_Yield_Data!C131</f>
        <v>145680</v>
      </c>
      <c r="D131" s="3" t="n">
        <f aca="false">Wheat_Yield_Data!D131</f>
        <v>524590</v>
      </c>
      <c r="E131" s="4" t="n">
        <f aca="false">Wheat_Yield_Data!E131</f>
        <v>3601</v>
      </c>
      <c r="F131" s="6" t="s">
        <v>120</v>
      </c>
      <c r="G131" s="2" t="s">
        <v>37</v>
      </c>
      <c r="H131" s="6" t="s">
        <v>121</v>
      </c>
      <c r="I131" s="2" t="s">
        <v>100</v>
      </c>
      <c r="J131" s="6" t="s">
        <v>245</v>
      </c>
    </row>
    <row r="132" customFormat="false" ht="35.05" hidden="false" customHeight="false" outlineLevel="0" collapsed="false">
      <c r="A132" s="2" t="str">
        <f aca="false">Wheat_Yield_Data!A132</f>
        <v>Hafizabad</v>
      </c>
      <c r="B132" s="2" t="str">
        <f aca="false">Wheat_Yield_Data!B132</f>
        <v>2021-22</v>
      </c>
      <c r="C132" s="3" t="n">
        <f aca="false">Wheat_Yield_Data!C132</f>
        <v>146900</v>
      </c>
      <c r="D132" s="3" t="n">
        <f aca="false">Wheat_Yield_Data!D132</f>
        <v>483810</v>
      </c>
      <c r="E132" s="4" t="n">
        <f aca="false">Wheat_Yield_Data!E132</f>
        <v>3293</v>
      </c>
      <c r="F132" s="6" t="s">
        <v>123</v>
      </c>
      <c r="G132" s="2" t="s">
        <v>37</v>
      </c>
      <c r="H132" s="6" t="s">
        <v>121</v>
      </c>
      <c r="I132" s="2" t="s">
        <v>100</v>
      </c>
      <c r="J132" s="6" t="s">
        <v>246</v>
      </c>
    </row>
    <row r="133" customFormat="false" ht="23.85" hidden="false" customHeight="false" outlineLevel="0" collapsed="false">
      <c r="A133" s="2" t="str">
        <f aca="false">Wheat_Yield_Data!A133</f>
        <v>Hafizabad</v>
      </c>
      <c r="B133" s="2" t="str">
        <f aca="false">Wheat_Yield_Data!B133</f>
        <v>2022-23</v>
      </c>
      <c r="C133" s="3" t="n">
        <f aca="false">Wheat_Yield_Data!C133</f>
        <v>150900</v>
      </c>
      <c r="D133" s="3" t="n">
        <f aca="false">Wheat_Yield_Data!D133</f>
        <v>595500</v>
      </c>
      <c r="E133" s="4" t="n">
        <f aca="false">Wheat_Yield_Data!E133</f>
        <v>3945</v>
      </c>
      <c r="F133" s="6" t="s">
        <v>125</v>
      </c>
      <c r="G133" s="2" t="s">
        <v>43</v>
      </c>
      <c r="H133" s="6" t="s">
        <v>126</v>
      </c>
      <c r="I133" s="2" t="s">
        <v>100</v>
      </c>
      <c r="J133" s="6" t="s">
        <v>247</v>
      </c>
    </row>
    <row r="134" customFormat="false" ht="35.05" hidden="false" customHeight="false" outlineLevel="0" collapsed="false">
      <c r="A134" s="2" t="str">
        <f aca="false">Wheat_Yield_Data!A134</f>
        <v>Jhang</v>
      </c>
      <c r="B134" s="2" t="str">
        <f aca="false">Wheat_Yield_Data!B134</f>
        <v>2010-11</v>
      </c>
      <c r="C134" s="3" t="n">
        <f aca="false">Wheat_Yield_Data!C134</f>
        <v>271940</v>
      </c>
      <c r="D134" s="3" t="n">
        <f aca="false">Wheat_Yield_Data!D134</f>
        <v>797340</v>
      </c>
      <c r="E134" s="4" t="n">
        <f aca="false">Wheat_Yield_Data!E134</f>
        <v>2932</v>
      </c>
      <c r="F134" s="6" t="s">
        <v>98</v>
      </c>
      <c r="G134" s="2" t="s">
        <v>11</v>
      </c>
      <c r="H134" s="6" t="s">
        <v>99</v>
      </c>
      <c r="I134" s="2" t="s">
        <v>100</v>
      </c>
      <c r="J134" s="6" t="s">
        <v>248</v>
      </c>
    </row>
    <row r="135" customFormat="false" ht="35.05" hidden="false" customHeight="false" outlineLevel="0" collapsed="false">
      <c r="A135" s="2" t="str">
        <f aca="false">Wheat_Yield_Data!A135</f>
        <v>Jhang</v>
      </c>
      <c r="B135" s="2" t="str">
        <f aca="false">Wheat_Yield_Data!B135</f>
        <v>2011-12</v>
      </c>
      <c r="C135" s="3" t="n">
        <f aca="false">Wheat_Yield_Data!C135</f>
        <v>261420</v>
      </c>
      <c r="D135" s="3" t="n">
        <f aca="false">Wheat_Yield_Data!D135</f>
        <v>740700</v>
      </c>
      <c r="E135" s="4" t="n">
        <f aca="false">Wheat_Yield_Data!E135</f>
        <v>2833</v>
      </c>
      <c r="F135" s="6" t="s">
        <v>102</v>
      </c>
      <c r="G135" s="2" t="s">
        <v>11</v>
      </c>
      <c r="H135" s="6" t="s">
        <v>99</v>
      </c>
      <c r="I135" s="2" t="s">
        <v>100</v>
      </c>
      <c r="J135" s="6" t="s">
        <v>249</v>
      </c>
    </row>
    <row r="136" customFormat="false" ht="46.25" hidden="false" customHeight="false" outlineLevel="0" collapsed="false">
      <c r="A136" s="2" t="str">
        <f aca="false">Wheat_Yield_Data!A136</f>
        <v>Jhang</v>
      </c>
      <c r="B136" s="2" t="str">
        <f aca="false">Wheat_Yield_Data!B136</f>
        <v>2012-13</v>
      </c>
      <c r="C136" s="3" t="n">
        <f aca="false">Wheat_Yield_Data!C136</f>
        <v>259800</v>
      </c>
      <c r="D136" s="3" t="n">
        <f aca="false">Wheat_Yield_Data!D136</f>
        <v>771530</v>
      </c>
      <c r="E136" s="4" t="n">
        <f aca="false">Wheat_Yield_Data!E136</f>
        <v>2970</v>
      </c>
      <c r="F136" s="6" t="s">
        <v>104</v>
      </c>
      <c r="G136" s="2" t="s">
        <v>18</v>
      </c>
      <c r="H136" s="6" t="s">
        <v>99</v>
      </c>
      <c r="I136" s="2" t="s">
        <v>100</v>
      </c>
      <c r="J136" s="6" t="s">
        <v>250</v>
      </c>
    </row>
    <row r="137" customFormat="false" ht="35.05" hidden="false" customHeight="false" outlineLevel="0" collapsed="false">
      <c r="A137" s="2" t="str">
        <f aca="false">Wheat_Yield_Data!A137</f>
        <v>Jhang</v>
      </c>
      <c r="B137" s="2" t="str">
        <f aca="false">Wheat_Yield_Data!B137</f>
        <v>2013-14</v>
      </c>
      <c r="C137" s="3" t="n">
        <f aca="false">Wheat_Yield_Data!C137</f>
        <v>292980</v>
      </c>
      <c r="D137" s="3" t="n">
        <f aca="false">Wheat_Yield_Data!D137</f>
        <v>893810</v>
      </c>
      <c r="E137" s="4" t="n">
        <f aca="false">Wheat_Yield_Data!E137</f>
        <v>3051</v>
      </c>
      <c r="F137" s="6" t="s">
        <v>106</v>
      </c>
      <c r="G137" s="2" t="s">
        <v>18</v>
      </c>
      <c r="H137" s="6" t="s">
        <v>99</v>
      </c>
      <c r="I137" s="2" t="s">
        <v>100</v>
      </c>
      <c r="J137" s="6" t="s">
        <v>251</v>
      </c>
    </row>
    <row r="138" customFormat="false" ht="35.05" hidden="false" customHeight="false" outlineLevel="0" collapsed="false">
      <c r="A138" s="2" t="str">
        <f aca="false">Wheat_Yield_Data!A138</f>
        <v>Jhang</v>
      </c>
      <c r="B138" s="2" t="str">
        <f aca="false">Wheat_Yield_Data!B138</f>
        <v>2014-15</v>
      </c>
      <c r="C138" s="3" t="n">
        <f aca="false">Wheat_Yield_Data!C138</f>
        <v>303100</v>
      </c>
      <c r="D138" s="3" t="n">
        <f aca="false">Wheat_Yield_Data!D138</f>
        <v>931500</v>
      </c>
      <c r="E138" s="4" t="n">
        <f aca="false">Wheat_Yield_Data!E138</f>
        <v>3073</v>
      </c>
      <c r="F138" s="6" t="s">
        <v>108</v>
      </c>
      <c r="G138" s="2" t="s">
        <v>23</v>
      </c>
      <c r="H138" s="6" t="s">
        <v>99</v>
      </c>
      <c r="I138" s="2" t="s">
        <v>100</v>
      </c>
      <c r="J138" s="6" t="s">
        <v>252</v>
      </c>
    </row>
    <row r="139" customFormat="false" ht="46.25" hidden="false" customHeight="false" outlineLevel="0" collapsed="false">
      <c r="A139" s="2" t="str">
        <f aca="false">Wheat_Yield_Data!A139</f>
        <v>Jhang</v>
      </c>
      <c r="B139" s="2" t="str">
        <f aca="false">Wheat_Yield_Data!B139</f>
        <v>2015-16</v>
      </c>
      <c r="C139" s="3" t="n">
        <f aca="false">Wheat_Yield_Data!C139</f>
        <v>300670</v>
      </c>
      <c r="D139" s="3" t="n">
        <f aca="false">Wheat_Yield_Data!D139</f>
        <v>869670</v>
      </c>
      <c r="E139" s="5" t="n">
        <f aca="false">Wheat_Yield_Data!E139</f>
        <v>2892.44021684904</v>
      </c>
      <c r="F139" s="6" t="s">
        <v>110</v>
      </c>
      <c r="G139" s="2" t="s">
        <v>23</v>
      </c>
      <c r="H139" s="6" t="s">
        <v>99</v>
      </c>
      <c r="I139" s="2" t="s">
        <v>111</v>
      </c>
      <c r="J139" s="6" t="s">
        <v>253</v>
      </c>
    </row>
    <row r="140" customFormat="false" ht="46.25" hidden="false" customHeight="false" outlineLevel="0" collapsed="false">
      <c r="A140" s="2" t="str">
        <f aca="false">Wheat_Yield_Data!A140</f>
        <v>Jhang</v>
      </c>
      <c r="B140" s="2" t="str">
        <f aca="false">Wheat_Yield_Data!B140</f>
        <v>2016-17</v>
      </c>
      <c r="C140" s="3" t="n">
        <f aca="false">Wheat_Yield_Data!C140</f>
        <v>288530</v>
      </c>
      <c r="D140" s="3" t="n">
        <f aca="false">Wheat_Yield_Data!D140</f>
        <v>917400</v>
      </c>
      <c r="E140" s="4" t="n">
        <f aca="false">Wheat_Yield_Data!E140</f>
        <v>3179</v>
      </c>
      <c r="F140" s="6" t="s">
        <v>113</v>
      </c>
      <c r="G140" s="2" t="s">
        <v>29</v>
      </c>
      <c r="H140" s="6" t="s">
        <v>114</v>
      </c>
      <c r="I140" s="2" t="s">
        <v>100</v>
      </c>
      <c r="J140" s="6" t="s">
        <v>254</v>
      </c>
    </row>
    <row r="141" customFormat="false" ht="46.25" hidden="false" customHeight="false" outlineLevel="0" collapsed="false">
      <c r="A141" s="2" t="str">
        <f aca="false">Wheat_Yield_Data!A141</f>
        <v>Jhang</v>
      </c>
      <c r="B141" s="2" t="str">
        <f aca="false">Wheat_Yield_Data!B141</f>
        <v>2017-18</v>
      </c>
      <c r="C141" s="3" t="n">
        <f aca="false">Wheat_Yield_Data!C141</f>
        <v>276800</v>
      </c>
      <c r="D141" s="3" t="n">
        <f aca="false">Wheat_Yield_Data!D141</f>
        <v>872930</v>
      </c>
      <c r="E141" s="4" t="n">
        <f aca="false">Wheat_Yield_Data!E141</f>
        <v>3153</v>
      </c>
      <c r="F141" s="6" t="s">
        <v>116</v>
      </c>
      <c r="G141" s="2" t="s">
        <v>29</v>
      </c>
      <c r="H141" s="6" t="s">
        <v>114</v>
      </c>
      <c r="I141" s="2" t="s">
        <v>100</v>
      </c>
      <c r="J141" s="6" t="s">
        <v>255</v>
      </c>
    </row>
    <row r="142" customFormat="false" ht="46.25" hidden="false" customHeight="false" outlineLevel="0" collapsed="false">
      <c r="A142" s="2" t="str">
        <f aca="false">Wheat_Yield_Data!A142</f>
        <v>Jhang</v>
      </c>
      <c r="B142" s="2" t="str">
        <f aca="false">Wheat_Yield_Data!B142</f>
        <v>2018-19</v>
      </c>
      <c r="C142" s="3" t="n">
        <f aca="false">Wheat_Yield_Data!C142</f>
        <v>276390</v>
      </c>
      <c r="D142" s="3" t="n">
        <f aca="false">Wheat_Yield_Data!D142</f>
        <v>866750</v>
      </c>
      <c r="E142" s="4" t="n">
        <f aca="false">Wheat_Yield_Data!E142</f>
        <v>3136</v>
      </c>
      <c r="F142" s="6" t="s">
        <v>118</v>
      </c>
      <c r="G142" s="2" t="s">
        <v>34</v>
      </c>
      <c r="H142" s="6" t="s">
        <v>114</v>
      </c>
      <c r="I142" s="2" t="s">
        <v>100</v>
      </c>
      <c r="J142" s="6" t="s">
        <v>256</v>
      </c>
    </row>
    <row r="143" customFormat="false" ht="35.05" hidden="false" customHeight="false" outlineLevel="0" collapsed="false">
      <c r="A143" s="2" t="str">
        <f aca="false">Wheat_Yield_Data!A143</f>
        <v>Jhang</v>
      </c>
      <c r="B143" s="2" t="str">
        <f aca="false">Wheat_Yield_Data!B143</f>
        <v>2020-21</v>
      </c>
      <c r="C143" s="3" t="n">
        <f aca="false">Wheat_Yield_Data!C143</f>
        <v>272750</v>
      </c>
      <c r="D143" s="3" t="n">
        <f aca="false">Wheat_Yield_Data!D143</f>
        <v>902930</v>
      </c>
      <c r="E143" s="4" t="n">
        <f aca="false">Wheat_Yield_Data!E143</f>
        <v>3310</v>
      </c>
      <c r="F143" s="6" t="s">
        <v>120</v>
      </c>
      <c r="G143" s="2" t="s">
        <v>37</v>
      </c>
      <c r="H143" s="6" t="s">
        <v>121</v>
      </c>
      <c r="I143" s="2" t="s">
        <v>100</v>
      </c>
      <c r="J143" s="6" t="s">
        <v>257</v>
      </c>
    </row>
    <row r="144" customFormat="false" ht="35.05" hidden="false" customHeight="false" outlineLevel="0" collapsed="false">
      <c r="A144" s="2" t="str">
        <f aca="false">Wheat_Yield_Data!A144</f>
        <v>Jhang</v>
      </c>
      <c r="B144" s="2" t="str">
        <f aca="false">Wheat_Yield_Data!B144</f>
        <v>2021-22</v>
      </c>
      <c r="C144" s="3" t="n">
        <f aca="false">Wheat_Yield_Data!C144</f>
        <v>255760</v>
      </c>
      <c r="D144" s="3" t="n">
        <f aca="false">Wheat_Yield_Data!D144</f>
        <v>810730</v>
      </c>
      <c r="E144" s="4" t="n">
        <f aca="false">Wheat_Yield_Data!E144</f>
        <v>3170</v>
      </c>
      <c r="F144" s="6" t="s">
        <v>123</v>
      </c>
      <c r="G144" s="2" t="s">
        <v>37</v>
      </c>
      <c r="H144" s="6" t="s">
        <v>121</v>
      </c>
      <c r="I144" s="2" t="s">
        <v>100</v>
      </c>
      <c r="J144" s="6" t="s">
        <v>258</v>
      </c>
    </row>
    <row r="145" customFormat="false" ht="23.85" hidden="false" customHeight="false" outlineLevel="0" collapsed="false">
      <c r="A145" s="2" t="str">
        <f aca="false">Wheat_Yield_Data!A145</f>
        <v>Jhang</v>
      </c>
      <c r="B145" s="2" t="str">
        <f aca="false">Wheat_Yield_Data!B145</f>
        <v>2022-23</v>
      </c>
      <c r="C145" s="3" t="n">
        <f aca="false">Wheat_Yield_Data!C145</f>
        <v>263400</v>
      </c>
      <c r="D145" s="3" t="n">
        <f aca="false">Wheat_Yield_Data!D145</f>
        <v>934300</v>
      </c>
      <c r="E145" s="4" t="n">
        <f aca="false">Wheat_Yield_Data!E145</f>
        <v>3547</v>
      </c>
      <c r="F145" s="6" t="s">
        <v>125</v>
      </c>
      <c r="G145" s="2" t="s">
        <v>43</v>
      </c>
      <c r="H145" s="6" t="s">
        <v>126</v>
      </c>
      <c r="I145" s="2" t="s">
        <v>100</v>
      </c>
      <c r="J145" s="6" t="s">
        <v>259</v>
      </c>
    </row>
    <row r="146" customFormat="false" ht="35.05" hidden="false" customHeight="false" outlineLevel="0" collapsed="false">
      <c r="A146" s="2" t="str">
        <f aca="false">Wheat_Yield_Data!A146</f>
        <v>Jhelum</v>
      </c>
      <c r="B146" s="2" t="str">
        <f aca="false">Wheat_Yield_Data!B146</f>
        <v>2010-11</v>
      </c>
      <c r="C146" s="3" t="n">
        <f aca="false">Wheat_Yield_Data!C146</f>
        <v>48970</v>
      </c>
      <c r="D146" s="3" t="n">
        <f aca="false">Wheat_Yield_Data!D146</f>
        <v>92640</v>
      </c>
      <c r="E146" s="4" t="n">
        <f aca="false">Wheat_Yield_Data!E146</f>
        <v>1892</v>
      </c>
      <c r="F146" s="6" t="s">
        <v>98</v>
      </c>
      <c r="G146" s="2" t="s">
        <v>11</v>
      </c>
      <c r="H146" s="6" t="s">
        <v>99</v>
      </c>
      <c r="I146" s="2" t="s">
        <v>100</v>
      </c>
      <c r="J146" s="6" t="s">
        <v>260</v>
      </c>
    </row>
    <row r="147" customFormat="false" ht="35.05" hidden="false" customHeight="false" outlineLevel="0" collapsed="false">
      <c r="A147" s="2" t="str">
        <f aca="false">Wheat_Yield_Data!A147</f>
        <v>Jhelum</v>
      </c>
      <c r="B147" s="2" t="str">
        <f aca="false">Wheat_Yield_Data!B147</f>
        <v>2011-12</v>
      </c>
      <c r="C147" s="3" t="n">
        <f aca="false">Wheat_Yield_Data!C147</f>
        <v>49780</v>
      </c>
      <c r="D147" s="3" t="n">
        <f aca="false">Wheat_Yield_Data!D147</f>
        <v>69100</v>
      </c>
      <c r="E147" s="4" t="n">
        <f aca="false">Wheat_Yield_Data!E147</f>
        <v>1388</v>
      </c>
      <c r="F147" s="6" t="s">
        <v>102</v>
      </c>
      <c r="G147" s="2" t="s">
        <v>11</v>
      </c>
      <c r="H147" s="6" t="s">
        <v>99</v>
      </c>
      <c r="I147" s="2" t="s">
        <v>100</v>
      </c>
      <c r="J147" s="6" t="s">
        <v>261</v>
      </c>
    </row>
    <row r="148" customFormat="false" ht="46.25" hidden="false" customHeight="false" outlineLevel="0" collapsed="false">
      <c r="A148" s="2" t="str">
        <f aca="false">Wheat_Yield_Data!A148</f>
        <v>Jhelum</v>
      </c>
      <c r="B148" s="2" t="str">
        <f aca="false">Wheat_Yield_Data!B148</f>
        <v>2012-13</v>
      </c>
      <c r="C148" s="3" t="n">
        <f aca="false">Wheat_Yield_Data!C148</f>
        <v>49370</v>
      </c>
      <c r="D148" s="3" t="n">
        <f aca="false">Wheat_Yield_Data!D148</f>
        <v>88840</v>
      </c>
      <c r="E148" s="4" t="n">
        <f aca="false">Wheat_Yield_Data!E148</f>
        <v>1799</v>
      </c>
      <c r="F148" s="6" t="s">
        <v>104</v>
      </c>
      <c r="G148" s="2" t="s">
        <v>18</v>
      </c>
      <c r="H148" s="6" t="s">
        <v>99</v>
      </c>
      <c r="I148" s="2" t="s">
        <v>100</v>
      </c>
      <c r="J148" s="6" t="s">
        <v>262</v>
      </c>
    </row>
    <row r="149" customFormat="false" ht="35.05" hidden="false" customHeight="false" outlineLevel="0" collapsed="false">
      <c r="A149" s="2" t="str">
        <f aca="false">Wheat_Yield_Data!A149</f>
        <v>Jhelum</v>
      </c>
      <c r="B149" s="2" t="str">
        <f aca="false">Wheat_Yield_Data!B149</f>
        <v>2013-14</v>
      </c>
      <c r="C149" s="3" t="n">
        <f aca="false">Wheat_Yield_Data!C149</f>
        <v>53820</v>
      </c>
      <c r="D149" s="3" t="n">
        <f aca="false">Wheat_Yield_Data!D149</f>
        <v>87840</v>
      </c>
      <c r="E149" s="4" t="n">
        <f aca="false">Wheat_Yield_Data!E149</f>
        <v>1632</v>
      </c>
      <c r="F149" s="6" t="s">
        <v>106</v>
      </c>
      <c r="G149" s="2" t="s">
        <v>18</v>
      </c>
      <c r="H149" s="6" t="s">
        <v>99</v>
      </c>
      <c r="I149" s="2" t="s">
        <v>100</v>
      </c>
      <c r="J149" s="6" t="s">
        <v>263</v>
      </c>
    </row>
    <row r="150" customFormat="false" ht="35.05" hidden="false" customHeight="false" outlineLevel="0" collapsed="false">
      <c r="A150" s="2" t="str">
        <f aca="false">Wheat_Yield_Data!A150</f>
        <v>Jhelum</v>
      </c>
      <c r="B150" s="2" t="str">
        <f aca="false">Wheat_Yield_Data!B150</f>
        <v>2014-15</v>
      </c>
      <c r="C150" s="3" t="n">
        <f aca="false">Wheat_Yield_Data!C150</f>
        <v>53820</v>
      </c>
      <c r="D150" s="3" t="n">
        <f aca="false">Wheat_Yield_Data!D150</f>
        <v>106840</v>
      </c>
      <c r="E150" s="4" t="n">
        <f aca="false">Wheat_Yield_Data!E150</f>
        <v>1985</v>
      </c>
      <c r="F150" s="6" t="s">
        <v>108</v>
      </c>
      <c r="G150" s="2" t="s">
        <v>23</v>
      </c>
      <c r="H150" s="6" t="s">
        <v>99</v>
      </c>
      <c r="I150" s="2" t="s">
        <v>100</v>
      </c>
      <c r="J150" s="6" t="s">
        <v>264</v>
      </c>
    </row>
    <row r="151" customFormat="false" ht="46.25" hidden="false" customHeight="false" outlineLevel="0" collapsed="false">
      <c r="A151" s="2" t="str">
        <f aca="false">Wheat_Yield_Data!A151</f>
        <v>Jhelum</v>
      </c>
      <c r="B151" s="2" t="str">
        <f aca="false">Wheat_Yield_Data!B151</f>
        <v>2015-16</v>
      </c>
      <c r="C151" s="3" t="n">
        <f aca="false">Wheat_Yield_Data!C151</f>
        <v>56660</v>
      </c>
      <c r="D151" s="3" t="n">
        <f aca="false">Wheat_Yield_Data!D151</f>
        <v>127370</v>
      </c>
      <c r="E151" s="5" t="n">
        <f aca="false">Wheat_Yield_Data!E151</f>
        <v>2247.97034945288</v>
      </c>
      <c r="F151" s="6" t="s">
        <v>110</v>
      </c>
      <c r="G151" s="2" t="s">
        <v>23</v>
      </c>
      <c r="H151" s="6" t="s">
        <v>99</v>
      </c>
      <c r="I151" s="2" t="s">
        <v>111</v>
      </c>
      <c r="J151" s="6" t="s">
        <v>265</v>
      </c>
    </row>
    <row r="152" customFormat="false" ht="46.25" hidden="false" customHeight="false" outlineLevel="0" collapsed="false">
      <c r="A152" s="2" t="str">
        <f aca="false">Wheat_Yield_Data!A152</f>
        <v>Jhelum</v>
      </c>
      <c r="B152" s="2" t="str">
        <f aca="false">Wheat_Yield_Data!B152</f>
        <v>2016-17</v>
      </c>
      <c r="C152" s="3" t="n">
        <f aca="false">Wheat_Yield_Data!C152</f>
        <v>53820</v>
      </c>
      <c r="D152" s="3" t="n">
        <f aca="false">Wheat_Yield_Data!D152</f>
        <v>96210</v>
      </c>
      <c r="E152" s="4" t="n">
        <f aca="false">Wheat_Yield_Data!E152</f>
        <v>1787</v>
      </c>
      <c r="F152" s="6" t="s">
        <v>113</v>
      </c>
      <c r="G152" s="2" t="s">
        <v>29</v>
      </c>
      <c r="H152" s="6" t="s">
        <v>114</v>
      </c>
      <c r="I152" s="2" t="s">
        <v>100</v>
      </c>
      <c r="J152" s="6" t="s">
        <v>266</v>
      </c>
    </row>
    <row r="153" customFormat="false" ht="46.25" hidden="false" customHeight="false" outlineLevel="0" collapsed="false">
      <c r="A153" s="2" t="str">
        <f aca="false">Wheat_Yield_Data!A153</f>
        <v>Jhelum</v>
      </c>
      <c r="B153" s="2" t="str">
        <f aca="false">Wheat_Yield_Data!B153</f>
        <v>2017-18</v>
      </c>
      <c r="C153" s="3" t="n">
        <f aca="false">Wheat_Yield_Data!C153</f>
        <v>56250</v>
      </c>
      <c r="D153" s="3" t="n">
        <f aca="false">Wheat_Yield_Data!D153</f>
        <v>85700</v>
      </c>
      <c r="E153" s="4" t="n">
        <f aca="false">Wheat_Yield_Data!E153</f>
        <v>1524</v>
      </c>
      <c r="F153" s="6" t="s">
        <v>116</v>
      </c>
      <c r="G153" s="2" t="s">
        <v>29</v>
      </c>
      <c r="H153" s="6" t="s">
        <v>114</v>
      </c>
      <c r="I153" s="2" t="s">
        <v>100</v>
      </c>
      <c r="J153" s="6" t="s">
        <v>267</v>
      </c>
    </row>
    <row r="154" customFormat="false" ht="46.25" hidden="false" customHeight="false" outlineLevel="0" collapsed="false">
      <c r="A154" s="2" t="str">
        <f aca="false">Wheat_Yield_Data!A154</f>
        <v>Jhelum</v>
      </c>
      <c r="B154" s="2" t="str">
        <f aca="false">Wheat_Yield_Data!B154</f>
        <v>2018-19</v>
      </c>
      <c r="C154" s="3" t="n">
        <f aca="false">Wheat_Yield_Data!C154</f>
        <v>53420</v>
      </c>
      <c r="D154" s="3" t="n">
        <f aca="false">Wheat_Yield_Data!D154</f>
        <v>85100</v>
      </c>
      <c r="E154" s="4" t="n">
        <f aca="false">Wheat_Yield_Data!E154</f>
        <v>1593</v>
      </c>
      <c r="F154" s="6" t="s">
        <v>118</v>
      </c>
      <c r="G154" s="2" t="s">
        <v>34</v>
      </c>
      <c r="H154" s="6" t="s">
        <v>114</v>
      </c>
      <c r="I154" s="2" t="s">
        <v>100</v>
      </c>
      <c r="J154" s="6" t="s">
        <v>268</v>
      </c>
    </row>
    <row r="155" customFormat="false" ht="35.05" hidden="false" customHeight="false" outlineLevel="0" collapsed="false">
      <c r="A155" s="2" t="str">
        <f aca="false">Wheat_Yield_Data!A155</f>
        <v>Jhelum</v>
      </c>
      <c r="B155" s="2" t="str">
        <f aca="false">Wheat_Yield_Data!B155</f>
        <v>2020-21</v>
      </c>
      <c r="C155" s="3" t="n">
        <f aca="false">Wheat_Yield_Data!C155</f>
        <v>80930</v>
      </c>
      <c r="D155" s="3" t="n">
        <f aca="false">Wheat_Yield_Data!D155</f>
        <v>115860</v>
      </c>
      <c r="E155" s="4" t="n">
        <f aca="false">Wheat_Yield_Data!E155</f>
        <v>1431</v>
      </c>
      <c r="F155" s="6" t="s">
        <v>120</v>
      </c>
      <c r="G155" s="2" t="s">
        <v>37</v>
      </c>
      <c r="H155" s="6" t="s">
        <v>121</v>
      </c>
      <c r="I155" s="2" t="s">
        <v>100</v>
      </c>
      <c r="J155" s="6" t="s">
        <v>269</v>
      </c>
    </row>
    <row r="156" customFormat="false" ht="35.05" hidden="false" customHeight="false" outlineLevel="0" collapsed="false">
      <c r="A156" s="2" t="str">
        <f aca="false">Wheat_Yield_Data!A156</f>
        <v>Jhelum</v>
      </c>
      <c r="B156" s="2" t="str">
        <f aca="false">Wheat_Yield_Data!B156</f>
        <v>2021-22</v>
      </c>
      <c r="C156" s="3" t="n">
        <f aca="false">Wheat_Yield_Data!C156</f>
        <v>77290</v>
      </c>
      <c r="D156" s="3" t="n">
        <f aca="false">Wheat_Yield_Data!D156</f>
        <v>152220</v>
      </c>
      <c r="E156" s="4" t="n">
        <f aca="false">Wheat_Yield_Data!E156</f>
        <v>1970</v>
      </c>
      <c r="F156" s="6" t="s">
        <v>123</v>
      </c>
      <c r="G156" s="2" t="s">
        <v>37</v>
      </c>
      <c r="H156" s="6" t="s">
        <v>121</v>
      </c>
      <c r="I156" s="2" t="s">
        <v>100</v>
      </c>
      <c r="J156" s="6" t="s">
        <v>270</v>
      </c>
    </row>
    <row r="157" customFormat="false" ht="23.85" hidden="false" customHeight="false" outlineLevel="0" collapsed="false">
      <c r="A157" s="2" t="str">
        <f aca="false">Wheat_Yield_Data!A157</f>
        <v>Jhelum</v>
      </c>
      <c r="B157" s="2" t="str">
        <f aca="false">Wheat_Yield_Data!B157</f>
        <v>2022-23</v>
      </c>
      <c r="C157" s="3" t="n">
        <f aca="false">Wheat_Yield_Data!C157</f>
        <v>85400</v>
      </c>
      <c r="D157" s="3" t="n">
        <f aca="false">Wheat_Yield_Data!D157</f>
        <v>193900</v>
      </c>
      <c r="E157" s="4" t="n">
        <f aca="false">Wheat_Yield_Data!E157</f>
        <v>2270</v>
      </c>
      <c r="F157" s="6" t="s">
        <v>125</v>
      </c>
      <c r="G157" s="2" t="s">
        <v>43</v>
      </c>
      <c r="H157" s="6" t="s">
        <v>126</v>
      </c>
      <c r="I157" s="2" t="s">
        <v>100</v>
      </c>
      <c r="J157" s="6" t="s">
        <v>271</v>
      </c>
    </row>
    <row r="158" customFormat="false" ht="35.05" hidden="false" customHeight="false" outlineLevel="0" collapsed="false">
      <c r="A158" s="2" t="str">
        <f aca="false">Wheat_Yield_Data!A158</f>
        <v>Kasur</v>
      </c>
      <c r="B158" s="2" t="str">
        <f aca="false">Wheat_Yield_Data!B158</f>
        <v>2010-11</v>
      </c>
      <c r="C158" s="3" t="n">
        <f aca="false">Wheat_Yield_Data!C158</f>
        <v>187360</v>
      </c>
      <c r="D158" s="3" t="n">
        <f aca="false">Wheat_Yield_Data!D158</f>
        <v>578230</v>
      </c>
      <c r="E158" s="4" t="n">
        <f aca="false">Wheat_Yield_Data!E158</f>
        <v>3086</v>
      </c>
      <c r="F158" s="6" t="s">
        <v>98</v>
      </c>
      <c r="G158" s="2" t="s">
        <v>11</v>
      </c>
      <c r="H158" s="6" t="s">
        <v>99</v>
      </c>
      <c r="I158" s="2" t="s">
        <v>100</v>
      </c>
      <c r="J158" s="6" t="s">
        <v>272</v>
      </c>
    </row>
    <row r="159" customFormat="false" ht="35.05" hidden="false" customHeight="false" outlineLevel="0" collapsed="false">
      <c r="A159" s="2" t="str">
        <f aca="false">Wheat_Yield_Data!A159</f>
        <v>Kasur</v>
      </c>
      <c r="B159" s="2" t="str">
        <f aca="false">Wheat_Yield_Data!B159</f>
        <v>2011-12</v>
      </c>
      <c r="C159" s="3" t="n">
        <f aca="false">Wheat_Yield_Data!C159</f>
        <v>184130</v>
      </c>
      <c r="D159" s="3" t="n">
        <f aca="false">Wheat_Yield_Data!D159</f>
        <v>570620</v>
      </c>
      <c r="E159" s="4" t="n">
        <f aca="false">Wheat_Yield_Data!E159</f>
        <v>3099</v>
      </c>
      <c r="F159" s="6" t="s">
        <v>102</v>
      </c>
      <c r="G159" s="2" t="s">
        <v>11</v>
      </c>
      <c r="H159" s="6" t="s">
        <v>99</v>
      </c>
      <c r="I159" s="2" t="s">
        <v>100</v>
      </c>
      <c r="J159" s="6" t="s">
        <v>273</v>
      </c>
    </row>
    <row r="160" customFormat="false" ht="46.25" hidden="false" customHeight="false" outlineLevel="0" collapsed="false">
      <c r="A160" s="2" t="str">
        <f aca="false">Wheat_Yield_Data!A160</f>
        <v>Kasur</v>
      </c>
      <c r="B160" s="2" t="str">
        <f aca="false">Wheat_Yield_Data!B160</f>
        <v>2012-13</v>
      </c>
      <c r="C160" s="3" t="n">
        <f aca="false">Wheat_Yield_Data!C160</f>
        <v>178870</v>
      </c>
      <c r="D160" s="3" t="n">
        <f aca="false">Wheat_Yield_Data!D160</f>
        <v>536330</v>
      </c>
      <c r="E160" s="4" t="n">
        <f aca="false">Wheat_Yield_Data!E160</f>
        <v>2998</v>
      </c>
      <c r="F160" s="6" t="s">
        <v>104</v>
      </c>
      <c r="G160" s="2" t="s">
        <v>18</v>
      </c>
      <c r="H160" s="6" t="s">
        <v>99</v>
      </c>
      <c r="I160" s="2" t="s">
        <v>100</v>
      </c>
      <c r="J160" s="6" t="s">
        <v>274</v>
      </c>
    </row>
    <row r="161" customFormat="false" ht="35.05" hidden="false" customHeight="false" outlineLevel="0" collapsed="false">
      <c r="A161" s="2" t="str">
        <f aca="false">Wheat_Yield_Data!A161</f>
        <v>Kasur</v>
      </c>
      <c r="B161" s="2" t="str">
        <f aca="false">Wheat_Yield_Data!B161</f>
        <v>2013-14</v>
      </c>
      <c r="C161" s="3" t="n">
        <f aca="false">Wheat_Yield_Data!C161</f>
        <v>182100</v>
      </c>
      <c r="D161" s="3" t="n">
        <f aca="false">Wheat_Yield_Data!D161</f>
        <v>548060</v>
      </c>
      <c r="E161" s="4" t="n">
        <f aca="false">Wheat_Yield_Data!E161</f>
        <v>3010</v>
      </c>
      <c r="F161" s="6" t="s">
        <v>106</v>
      </c>
      <c r="G161" s="2" t="s">
        <v>18</v>
      </c>
      <c r="H161" s="6" t="s">
        <v>99</v>
      </c>
      <c r="I161" s="2" t="s">
        <v>100</v>
      </c>
      <c r="J161" s="6" t="s">
        <v>275</v>
      </c>
    </row>
    <row r="162" customFormat="false" ht="35.05" hidden="false" customHeight="false" outlineLevel="0" collapsed="false">
      <c r="A162" s="2" t="str">
        <f aca="false">Wheat_Yield_Data!A162</f>
        <v>Kasur</v>
      </c>
      <c r="B162" s="2" t="str">
        <f aca="false">Wheat_Yield_Data!B162</f>
        <v>2014-15</v>
      </c>
      <c r="C162" s="3" t="n">
        <f aca="false">Wheat_Yield_Data!C162</f>
        <v>167530</v>
      </c>
      <c r="D162" s="3" t="n">
        <f aca="false">Wheat_Yield_Data!D162</f>
        <v>514260</v>
      </c>
      <c r="E162" s="4" t="n">
        <f aca="false">Wheat_Yield_Data!E162</f>
        <v>3069</v>
      </c>
      <c r="F162" s="6" t="s">
        <v>108</v>
      </c>
      <c r="G162" s="2" t="s">
        <v>23</v>
      </c>
      <c r="H162" s="6" t="s">
        <v>99</v>
      </c>
      <c r="I162" s="2" t="s">
        <v>100</v>
      </c>
      <c r="J162" s="6" t="s">
        <v>276</v>
      </c>
    </row>
    <row r="163" customFormat="false" ht="46.25" hidden="false" customHeight="false" outlineLevel="0" collapsed="false">
      <c r="A163" s="2" t="str">
        <f aca="false">Wheat_Yield_Data!A163</f>
        <v>Kasur</v>
      </c>
      <c r="B163" s="2" t="str">
        <f aca="false">Wheat_Yield_Data!B163</f>
        <v>2015-16</v>
      </c>
      <c r="C163" s="3" t="n">
        <f aca="false">Wheat_Yield_Data!C163</f>
        <v>165510</v>
      </c>
      <c r="D163" s="3" t="n">
        <f aca="false">Wheat_Yield_Data!D163</f>
        <v>479490</v>
      </c>
      <c r="E163" s="5" t="n">
        <f aca="false">Wheat_Yield_Data!E163</f>
        <v>2897.04549574044</v>
      </c>
      <c r="F163" s="6" t="s">
        <v>110</v>
      </c>
      <c r="G163" s="2" t="s">
        <v>23</v>
      </c>
      <c r="H163" s="6" t="s">
        <v>99</v>
      </c>
      <c r="I163" s="2" t="s">
        <v>111</v>
      </c>
      <c r="J163" s="6" t="s">
        <v>277</v>
      </c>
    </row>
    <row r="164" customFormat="false" ht="46.25" hidden="false" customHeight="false" outlineLevel="0" collapsed="false">
      <c r="A164" s="2" t="str">
        <f aca="false">Wheat_Yield_Data!A164</f>
        <v>Kasur</v>
      </c>
      <c r="B164" s="2" t="str">
        <f aca="false">Wheat_Yield_Data!B164</f>
        <v>2016-17</v>
      </c>
      <c r="C164" s="3" t="n">
        <f aca="false">Wheat_Yield_Data!C164</f>
        <v>164300</v>
      </c>
      <c r="D164" s="3" t="n">
        <f aca="false">Wheat_Yield_Data!D164</f>
        <v>526440</v>
      </c>
      <c r="E164" s="4" t="n">
        <f aca="false">Wheat_Yield_Data!E164</f>
        <v>3204</v>
      </c>
      <c r="F164" s="6" t="s">
        <v>113</v>
      </c>
      <c r="G164" s="2" t="s">
        <v>29</v>
      </c>
      <c r="H164" s="6" t="s">
        <v>114</v>
      </c>
      <c r="I164" s="2" t="s">
        <v>100</v>
      </c>
      <c r="J164" s="6" t="s">
        <v>278</v>
      </c>
    </row>
    <row r="165" customFormat="false" ht="46.25" hidden="false" customHeight="false" outlineLevel="0" collapsed="false">
      <c r="A165" s="2" t="str">
        <f aca="false">Wheat_Yield_Data!A165</f>
        <v>Kasur</v>
      </c>
      <c r="B165" s="2" t="str">
        <f aca="false">Wheat_Yield_Data!B165</f>
        <v>2017-18</v>
      </c>
      <c r="C165" s="3" t="n">
        <f aca="false">Wheat_Yield_Data!C165</f>
        <v>162680</v>
      </c>
      <c r="D165" s="3" t="n">
        <f aca="false">Wheat_Yield_Data!D165</f>
        <v>514500</v>
      </c>
      <c r="E165" s="4" t="n">
        <f aca="false">Wheat_Yield_Data!E165</f>
        <v>3163</v>
      </c>
      <c r="F165" s="6" t="s">
        <v>116</v>
      </c>
      <c r="G165" s="2" t="s">
        <v>29</v>
      </c>
      <c r="H165" s="6" t="s">
        <v>114</v>
      </c>
      <c r="I165" s="2" t="s">
        <v>100</v>
      </c>
      <c r="J165" s="6" t="s">
        <v>279</v>
      </c>
    </row>
    <row r="166" customFormat="false" ht="46.25" hidden="false" customHeight="false" outlineLevel="0" collapsed="false">
      <c r="A166" s="2" t="str">
        <f aca="false">Wheat_Yield_Data!A166</f>
        <v>Kasur</v>
      </c>
      <c r="B166" s="2" t="str">
        <f aca="false">Wheat_Yield_Data!B166</f>
        <v>2018-19</v>
      </c>
      <c r="C166" s="3" t="n">
        <f aca="false">Wheat_Yield_Data!C166</f>
        <v>161870</v>
      </c>
      <c r="D166" s="3" t="n">
        <f aca="false">Wheat_Yield_Data!D166</f>
        <v>467300</v>
      </c>
      <c r="E166" s="4" t="n">
        <f aca="false">Wheat_Yield_Data!E166</f>
        <v>2887</v>
      </c>
      <c r="F166" s="6" t="s">
        <v>118</v>
      </c>
      <c r="G166" s="2" t="s">
        <v>34</v>
      </c>
      <c r="H166" s="6" t="s">
        <v>114</v>
      </c>
      <c r="I166" s="2" t="s">
        <v>100</v>
      </c>
      <c r="J166" s="6" t="s">
        <v>280</v>
      </c>
    </row>
    <row r="167" customFormat="false" ht="35.05" hidden="false" customHeight="false" outlineLevel="0" collapsed="false">
      <c r="A167" s="2" t="str">
        <f aca="false">Wheat_Yield_Data!A167</f>
        <v>Kasur</v>
      </c>
      <c r="B167" s="2" t="str">
        <f aca="false">Wheat_Yield_Data!B167</f>
        <v>2020-21</v>
      </c>
      <c r="C167" s="3" t="n">
        <f aca="false">Wheat_Yield_Data!C167</f>
        <v>136780</v>
      </c>
      <c r="D167" s="3" t="n">
        <f aca="false">Wheat_Yield_Data!D167</f>
        <v>478200</v>
      </c>
      <c r="E167" s="4" t="n">
        <f aca="false">Wheat_Yield_Data!E167</f>
        <v>3496</v>
      </c>
      <c r="F167" s="6" t="s">
        <v>120</v>
      </c>
      <c r="G167" s="2" t="s">
        <v>37</v>
      </c>
      <c r="H167" s="6" t="s">
        <v>121</v>
      </c>
      <c r="I167" s="2" t="s">
        <v>100</v>
      </c>
      <c r="J167" s="6" t="s">
        <v>281</v>
      </c>
    </row>
    <row r="168" customFormat="false" ht="35.05" hidden="false" customHeight="false" outlineLevel="0" collapsed="false">
      <c r="A168" s="2" t="str">
        <f aca="false">Wheat_Yield_Data!A168</f>
        <v>Kasur</v>
      </c>
      <c r="B168" s="2" t="str">
        <f aca="false">Wheat_Yield_Data!B168</f>
        <v>2021-22</v>
      </c>
      <c r="C168" s="3" t="n">
        <f aca="false">Wheat_Yield_Data!C168</f>
        <v>129900</v>
      </c>
      <c r="D168" s="3" t="n">
        <f aca="false">Wheat_Yield_Data!D168</f>
        <v>406260</v>
      </c>
      <c r="E168" s="4" t="n">
        <f aca="false">Wheat_Yield_Data!E168</f>
        <v>3127</v>
      </c>
      <c r="F168" s="6" t="s">
        <v>123</v>
      </c>
      <c r="G168" s="2" t="s">
        <v>37</v>
      </c>
      <c r="H168" s="6" t="s">
        <v>121</v>
      </c>
      <c r="I168" s="2" t="s">
        <v>100</v>
      </c>
      <c r="J168" s="6" t="s">
        <v>282</v>
      </c>
    </row>
    <row r="169" customFormat="false" ht="23.85" hidden="false" customHeight="false" outlineLevel="0" collapsed="false">
      <c r="A169" s="2" t="str">
        <f aca="false">Wheat_Yield_Data!A169</f>
        <v>Kasur</v>
      </c>
      <c r="B169" s="2" t="str">
        <f aca="false">Wheat_Yield_Data!B169</f>
        <v>2022-23</v>
      </c>
      <c r="C169" s="3" t="n">
        <f aca="false">Wheat_Yield_Data!C169</f>
        <v>127500</v>
      </c>
      <c r="D169" s="3" t="n">
        <f aca="false">Wheat_Yield_Data!D169</f>
        <v>434300</v>
      </c>
      <c r="E169" s="4" t="n">
        <f aca="false">Wheat_Yield_Data!E169</f>
        <v>3407</v>
      </c>
      <c r="F169" s="6" t="s">
        <v>125</v>
      </c>
      <c r="G169" s="2" t="s">
        <v>43</v>
      </c>
      <c r="H169" s="6" t="s">
        <v>126</v>
      </c>
      <c r="I169" s="2" t="s">
        <v>100</v>
      </c>
      <c r="J169" s="6" t="s">
        <v>283</v>
      </c>
    </row>
    <row r="170" customFormat="false" ht="35.05" hidden="false" customHeight="false" outlineLevel="0" collapsed="false">
      <c r="A170" s="2" t="str">
        <f aca="false">Wheat_Yield_Data!A170</f>
        <v>Khanewal</v>
      </c>
      <c r="B170" s="2" t="str">
        <f aca="false">Wheat_Yield_Data!B170</f>
        <v>2010-11</v>
      </c>
      <c r="C170" s="3" t="n">
        <f aca="false">Wheat_Yield_Data!C170</f>
        <v>203150</v>
      </c>
      <c r="D170" s="3" t="n">
        <f aca="false">Wheat_Yield_Data!D170</f>
        <v>627460</v>
      </c>
      <c r="E170" s="4" t="n">
        <f aca="false">Wheat_Yield_Data!E170</f>
        <v>3089</v>
      </c>
      <c r="F170" s="6" t="s">
        <v>98</v>
      </c>
      <c r="G170" s="2" t="s">
        <v>11</v>
      </c>
      <c r="H170" s="6" t="s">
        <v>99</v>
      </c>
      <c r="I170" s="2" t="s">
        <v>100</v>
      </c>
      <c r="J170" s="6" t="s">
        <v>284</v>
      </c>
    </row>
    <row r="171" customFormat="false" ht="35.05" hidden="false" customHeight="false" outlineLevel="0" collapsed="false">
      <c r="A171" s="2" t="str">
        <f aca="false">Wheat_Yield_Data!A171</f>
        <v>Khanewal</v>
      </c>
      <c r="B171" s="2" t="str">
        <f aca="false">Wheat_Yield_Data!B171</f>
        <v>2011-12</v>
      </c>
      <c r="C171" s="3" t="n">
        <f aca="false">Wheat_Yield_Data!C171</f>
        <v>195460</v>
      </c>
      <c r="D171" s="3" t="n">
        <f aca="false">Wheat_Yield_Data!D171</f>
        <v>573960</v>
      </c>
      <c r="E171" s="4" t="n">
        <f aca="false">Wheat_Yield_Data!E171</f>
        <v>2937</v>
      </c>
      <c r="F171" s="6" t="s">
        <v>102</v>
      </c>
      <c r="G171" s="2" t="s">
        <v>11</v>
      </c>
      <c r="H171" s="6" t="s">
        <v>99</v>
      </c>
      <c r="I171" s="2" t="s">
        <v>100</v>
      </c>
      <c r="J171" s="6" t="s">
        <v>285</v>
      </c>
    </row>
    <row r="172" customFormat="false" ht="46.25" hidden="false" customHeight="false" outlineLevel="0" collapsed="false">
      <c r="A172" s="2" t="str">
        <f aca="false">Wheat_Yield_Data!A172</f>
        <v>Khanewal</v>
      </c>
      <c r="B172" s="2" t="str">
        <f aca="false">Wheat_Yield_Data!B172</f>
        <v>2012-13</v>
      </c>
      <c r="C172" s="3" t="n">
        <f aca="false">Wheat_Yield_Data!C172</f>
        <v>202740</v>
      </c>
      <c r="D172" s="3" t="n">
        <f aca="false">Wheat_Yield_Data!D172</f>
        <v>629420</v>
      </c>
      <c r="E172" s="4" t="n">
        <f aca="false">Wheat_Yield_Data!E172</f>
        <v>3105</v>
      </c>
      <c r="F172" s="6" t="s">
        <v>104</v>
      </c>
      <c r="G172" s="2" t="s">
        <v>18</v>
      </c>
      <c r="H172" s="6" t="s">
        <v>99</v>
      </c>
      <c r="I172" s="2" t="s">
        <v>100</v>
      </c>
      <c r="J172" s="6" t="s">
        <v>286</v>
      </c>
    </row>
    <row r="173" customFormat="false" ht="35.05" hidden="false" customHeight="false" outlineLevel="0" collapsed="false">
      <c r="A173" s="2" t="str">
        <f aca="false">Wheat_Yield_Data!A173</f>
        <v>Khanewal</v>
      </c>
      <c r="B173" s="2" t="str">
        <f aca="false">Wheat_Yield_Data!B173</f>
        <v>2013-14</v>
      </c>
      <c r="C173" s="3" t="n">
        <f aca="false">Wheat_Yield_Data!C173</f>
        <v>215290</v>
      </c>
      <c r="D173" s="3" t="n">
        <f aca="false">Wheat_Yield_Data!D173</f>
        <v>682530</v>
      </c>
      <c r="E173" s="4" t="n">
        <f aca="false">Wheat_Yield_Data!E173</f>
        <v>3170</v>
      </c>
      <c r="F173" s="6" t="s">
        <v>106</v>
      </c>
      <c r="G173" s="2" t="s">
        <v>18</v>
      </c>
      <c r="H173" s="6" t="s">
        <v>99</v>
      </c>
      <c r="I173" s="2" t="s">
        <v>100</v>
      </c>
      <c r="J173" s="6" t="s">
        <v>287</v>
      </c>
    </row>
    <row r="174" customFormat="false" ht="35.05" hidden="false" customHeight="false" outlineLevel="0" collapsed="false">
      <c r="A174" s="2" t="str">
        <f aca="false">Wheat_Yield_Data!A174</f>
        <v>Khanewal</v>
      </c>
      <c r="B174" s="2" t="str">
        <f aca="false">Wheat_Yield_Data!B174</f>
        <v>2014-15</v>
      </c>
      <c r="C174" s="3" t="n">
        <f aca="false">Wheat_Yield_Data!C174</f>
        <v>203560</v>
      </c>
      <c r="D174" s="3" t="n">
        <f aca="false">Wheat_Yield_Data!D174</f>
        <v>641900</v>
      </c>
      <c r="E174" s="4" t="n">
        <f aca="false">Wheat_Yield_Data!E174</f>
        <v>3153</v>
      </c>
      <c r="F174" s="6" t="s">
        <v>108</v>
      </c>
      <c r="G174" s="2" t="s">
        <v>23</v>
      </c>
      <c r="H174" s="6" t="s">
        <v>99</v>
      </c>
      <c r="I174" s="2" t="s">
        <v>100</v>
      </c>
      <c r="J174" s="6" t="s">
        <v>288</v>
      </c>
    </row>
    <row r="175" customFormat="false" ht="46.25" hidden="false" customHeight="false" outlineLevel="0" collapsed="false">
      <c r="A175" s="2" t="str">
        <f aca="false">Wheat_Yield_Data!A175</f>
        <v>Khanewal</v>
      </c>
      <c r="B175" s="2" t="str">
        <f aca="false">Wheat_Yield_Data!B175</f>
        <v>2015-16</v>
      </c>
      <c r="C175" s="3" t="n">
        <f aca="false">Wheat_Yield_Data!C175</f>
        <v>204360</v>
      </c>
      <c r="D175" s="3" t="n">
        <f aca="false">Wheat_Yield_Data!D175</f>
        <v>657340</v>
      </c>
      <c r="E175" s="5" t="n">
        <f aca="false">Wheat_Yield_Data!E175</f>
        <v>3216.57858680759</v>
      </c>
      <c r="F175" s="6" t="s">
        <v>110</v>
      </c>
      <c r="G175" s="2" t="s">
        <v>23</v>
      </c>
      <c r="H175" s="6" t="s">
        <v>99</v>
      </c>
      <c r="I175" s="2" t="s">
        <v>111</v>
      </c>
      <c r="J175" s="6" t="s">
        <v>289</v>
      </c>
    </row>
    <row r="176" customFormat="false" ht="46.25" hidden="false" customHeight="false" outlineLevel="0" collapsed="false">
      <c r="A176" s="2" t="str">
        <f aca="false">Wheat_Yield_Data!A176</f>
        <v>Khanewal</v>
      </c>
      <c r="B176" s="2" t="str">
        <f aca="false">Wheat_Yield_Data!B176</f>
        <v>2016-17</v>
      </c>
      <c r="C176" s="3" t="n">
        <f aca="false">Wheat_Yield_Data!C176</f>
        <v>200320</v>
      </c>
      <c r="D176" s="3" t="n">
        <f aca="false">Wheat_Yield_Data!D176</f>
        <v>753540</v>
      </c>
      <c r="E176" s="4" t="n">
        <f aca="false">Wheat_Yield_Data!E176</f>
        <v>3762</v>
      </c>
      <c r="F176" s="6" t="s">
        <v>113</v>
      </c>
      <c r="G176" s="2" t="s">
        <v>29</v>
      </c>
      <c r="H176" s="6" t="s">
        <v>114</v>
      </c>
      <c r="I176" s="2" t="s">
        <v>100</v>
      </c>
      <c r="J176" s="6" t="s">
        <v>290</v>
      </c>
    </row>
    <row r="177" customFormat="false" ht="46.25" hidden="false" customHeight="false" outlineLevel="0" collapsed="false">
      <c r="A177" s="2" t="str">
        <f aca="false">Wheat_Yield_Data!A177</f>
        <v>Khanewal</v>
      </c>
      <c r="B177" s="2" t="str">
        <f aca="false">Wheat_Yield_Data!B177</f>
        <v>2017-18</v>
      </c>
      <c r="C177" s="3" t="n">
        <f aca="false">Wheat_Yield_Data!C177</f>
        <v>194650</v>
      </c>
      <c r="D177" s="3" t="n">
        <f aca="false">Wheat_Yield_Data!D177</f>
        <v>675730</v>
      </c>
      <c r="E177" s="4" t="n">
        <f aca="false">Wheat_Yield_Data!E177</f>
        <v>3472</v>
      </c>
      <c r="F177" s="6" t="s">
        <v>116</v>
      </c>
      <c r="G177" s="2" t="s">
        <v>29</v>
      </c>
      <c r="H177" s="6" t="s">
        <v>114</v>
      </c>
      <c r="I177" s="2" t="s">
        <v>100</v>
      </c>
      <c r="J177" s="6" t="s">
        <v>291</v>
      </c>
    </row>
    <row r="178" customFormat="false" ht="46.25" hidden="false" customHeight="false" outlineLevel="0" collapsed="false">
      <c r="A178" s="2" t="str">
        <f aca="false">Wheat_Yield_Data!A178</f>
        <v>Khanewal</v>
      </c>
      <c r="B178" s="2" t="str">
        <f aca="false">Wheat_Yield_Data!B178</f>
        <v>2018-19</v>
      </c>
      <c r="C178" s="3" t="n">
        <f aca="false">Wheat_Yield_Data!C178</f>
        <v>191410</v>
      </c>
      <c r="D178" s="3" t="n">
        <f aca="false">Wheat_Yield_Data!D178</f>
        <v>597780</v>
      </c>
      <c r="E178" s="4" t="n">
        <f aca="false">Wheat_Yield_Data!E178</f>
        <v>3123</v>
      </c>
      <c r="F178" s="6" t="s">
        <v>118</v>
      </c>
      <c r="G178" s="2" t="s">
        <v>34</v>
      </c>
      <c r="H178" s="6" t="s">
        <v>114</v>
      </c>
      <c r="I178" s="2" t="s">
        <v>100</v>
      </c>
      <c r="J178" s="6" t="s">
        <v>292</v>
      </c>
    </row>
    <row r="179" customFormat="false" ht="35.05" hidden="false" customHeight="false" outlineLevel="0" collapsed="false">
      <c r="A179" s="2" t="str">
        <f aca="false">Wheat_Yield_Data!A179</f>
        <v>Khanewal</v>
      </c>
      <c r="B179" s="2" t="str">
        <f aca="false">Wheat_Yield_Data!B179</f>
        <v>2020-21</v>
      </c>
      <c r="C179" s="3" t="n">
        <f aca="false">Wheat_Yield_Data!C179</f>
        <v>227430</v>
      </c>
      <c r="D179" s="3" t="n">
        <f aca="false">Wheat_Yield_Data!D179</f>
        <v>759150</v>
      </c>
      <c r="E179" s="4" t="n">
        <f aca="false">Wheat_Yield_Data!E179</f>
        <v>3338</v>
      </c>
      <c r="F179" s="6" t="s">
        <v>120</v>
      </c>
      <c r="G179" s="2" t="s">
        <v>37</v>
      </c>
      <c r="H179" s="6" t="s">
        <v>121</v>
      </c>
      <c r="I179" s="2" t="s">
        <v>100</v>
      </c>
      <c r="J179" s="6" t="s">
        <v>293</v>
      </c>
    </row>
    <row r="180" customFormat="false" ht="35.05" hidden="false" customHeight="false" outlineLevel="0" collapsed="false">
      <c r="A180" s="2" t="str">
        <f aca="false">Wheat_Yield_Data!A180</f>
        <v>Khanewal</v>
      </c>
      <c r="B180" s="2" t="str">
        <f aca="false">Wheat_Yield_Data!B180</f>
        <v>2021-22</v>
      </c>
      <c r="C180" s="3" t="n">
        <f aca="false">Wheat_Yield_Data!C180</f>
        <v>214880</v>
      </c>
      <c r="D180" s="3" t="n">
        <f aca="false">Wheat_Yield_Data!D180</f>
        <v>792890</v>
      </c>
      <c r="E180" s="4" t="n">
        <f aca="false">Wheat_Yield_Data!E180</f>
        <v>3690</v>
      </c>
      <c r="F180" s="6" t="s">
        <v>123</v>
      </c>
      <c r="G180" s="2" t="s">
        <v>37</v>
      </c>
      <c r="H180" s="6" t="s">
        <v>121</v>
      </c>
      <c r="I180" s="2" t="s">
        <v>100</v>
      </c>
      <c r="J180" s="6" t="s">
        <v>294</v>
      </c>
    </row>
    <row r="181" customFormat="false" ht="23.85" hidden="false" customHeight="false" outlineLevel="0" collapsed="false">
      <c r="A181" s="2" t="str">
        <f aca="false">Wheat_Yield_Data!A181</f>
        <v>Khanewal</v>
      </c>
      <c r="B181" s="2" t="str">
        <f aca="false">Wheat_Yield_Data!B181</f>
        <v>2022-23</v>
      </c>
      <c r="C181" s="3" t="n">
        <f aca="false">Wheat_Yield_Data!C181</f>
        <v>194300</v>
      </c>
      <c r="D181" s="3" t="n">
        <f aca="false">Wheat_Yield_Data!D181</f>
        <v>726900</v>
      </c>
      <c r="E181" s="4" t="n">
        <f aca="false">Wheat_Yield_Data!E181</f>
        <v>3742</v>
      </c>
      <c r="F181" s="6" t="s">
        <v>125</v>
      </c>
      <c r="G181" s="2" t="s">
        <v>43</v>
      </c>
      <c r="H181" s="6" t="s">
        <v>126</v>
      </c>
      <c r="I181" s="2" t="s">
        <v>100</v>
      </c>
      <c r="J181" s="6" t="s">
        <v>295</v>
      </c>
    </row>
    <row r="182" customFormat="false" ht="35.05" hidden="false" customHeight="false" outlineLevel="0" collapsed="false">
      <c r="A182" s="2" t="str">
        <f aca="false">Wheat_Yield_Data!A182</f>
        <v>Khushab</v>
      </c>
      <c r="B182" s="2" t="str">
        <f aca="false">Wheat_Yield_Data!B182</f>
        <v>2010-11</v>
      </c>
      <c r="C182" s="3" t="n">
        <f aca="false">Wheat_Yield_Data!C182</f>
        <v>92270</v>
      </c>
      <c r="D182" s="3" t="n">
        <f aca="false">Wheat_Yield_Data!D182</f>
        <v>185720</v>
      </c>
      <c r="E182" s="4" t="n">
        <f aca="false">Wheat_Yield_Data!E182</f>
        <v>2012</v>
      </c>
      <c r="F182" s="6" t="s">
        <v>98</v>
      </c>
      <c r="G182" s="2" t="s">
        <v>11</v>
      </c>
      <c r="H182" s="6" t="s">
        <v>99</v>
      </c>
      <c r="I182" s="2" t="s">
        <v>100</v>
      </c>
      <c r="J182" s="6" t="s">
        <v>296</v>
      </c>
    </row>
    <row r="183" customFormat="false" ht="35.05" hidden="false" customHeight="false" outlineLevel="0" collapsed="false">
      <c r="A183" s="2" t="str">
        <f aca="false">Wheat_Yield_Data!A183</f>
        <v>Khushab</v>
      </c>
      <c r="B183" s="2" t="str">
        <f aca="false">Wheat_Yield_Data!B183</f>
        <v>2011-12</v>
      </c>
      <c r="C183" s="3" t="n">
        <f aca="false">Wheat_Yield_Data!C183</f>
        <v>85790</v>
      </c>
      <c r="D183" s="3" t="n">
        <f aca="false">Wheat_Yield_Data!D183</f>
        <v>144800</v>
      </c>
      <c r="E183" s="4" t="n">
        <f aca="false">Wheat_Yield_Data!E183</f>
        <v>1688</v>
      </c>
      <c r="F183" s="6" t="s">
        <v>102</v>
      </c>
      <c r="G183" s="2" t="s">
        <v>11</v>
      </c>
      <c r="H183" s="6" t="s">
        <v>99</v>
      </c>
      <c r="I183" s="2" t="s">
        <v>100</v>
      </c>
      <c r="J183" s="6" t="s">
        <v>297</v>
      </c>
    </row>
    <row r="184" customFormat="false" ht="46.25" hidden="false" customHeight="false" outlineLevel="0" collapsed="false">
      <c r="A184" s="2" t="str">
        <f aca="false">Wheat_Yield_Data!A184</f>
        <v>Khushab</v>
      </c>
      <c r="B184" s="2" t="str">
        <f aca="false">Wheat_Yield_Data!B184</f>
        <v>2012-13</v>
      </c>
      <c r="C184" s="3" t="n">
        <f aca="false">Wheat_Yield_Data!C184</f>
        <v>87410</v>
      </c>
      <c r="D184" s="3" t="n">
        <f aca="false">Wheat_Yield_Data!D184</f>
        <v>167450</v>
      </c>
      <c r="E184" s="4" t="n">
        <f aca="false">Wheat_Yield_Data!E184</f>
        <v>1916</v>
      </c>
      <c r="F184" s="6" t="s">
        <v>104</v>
      </c>
      <c r="G184" s="2" t="s">
        <v>18</v>
      </c>
      <c r="H184" s="6" t="s">
        <v>99</v>
      </c>
      <c r="I184" s="2" t="s">
        <v>100</v>
      </c>
      <c r="J184" s="6" t="s">
        <v>298</v>
      </c>
    </row>
    <row r="185" customFormat="false" ht="35.05" hidden="false" customHeight="false" outlineLevel="0" collapsed="false">
      <c r="A185" s="2" t="str">
        <f aca="false">Wheat_Yield_Data!A185</f>
        <v>Khushab</v>
      </c>
      <c r="B185" s="2" t="str">
        <f aca="false">Wheat_Yield_Data!B185</f>
        <v>2013-14</v>
      </c>
      <c r="C185" s="3" t="n">
        <f aca="false">Wheat_Yield_Data!C185</f>
        <v>89840</v>
      </c>
      <c r="D185" s="3" t="n">
        <f aca="false">Wheat_Yield_Data!D185</f>
        <v>148760</v>
      </c>
      <c r="E185" s="4" t="n">
        <f aca="false">Wheat_Yield_Data!E185</f>
        <v>1656</v>
      </c>
      <c r="F185" s="6" t="s">
        <v>106</v>
      </c>
      <c r="G185" s="2" t="s">
        <v>18</v>
      </c>
      <c r="H185" s="6" t="s">
        <v>99</v>
      </c>
      <c r="I185" s="2" t="s">
        <v>100</v>
      </c>
      <c r="J185" s="6" t="s">
        <v>299</v>
      </c>
    </row>
    <row r="186" customFormat="false" ht="35.05" hidden="false" customHeight="false" outlineLevel="0" collapsed="false">
      <c r="A186" s="2" t="str">
        <f aca="false">Wheat_Yield_Data!A186</f>
        <v>Khushab</v>
      </c>
      <c r="B186" s="2" t="str">
        <f aca="false">Wheat_Yield_Data!B186</f>
        <v>2014-15</v>
      </c>
      <c r="C186" s="3" t="n">
        <f aca="false">Wheat_Yield_Data!C186</f>
        <v>92670</v>
      </c>
      <c r="D186" s="3" t="n">
        <f aca="false">Wheat_Yield_Data!D186</f>
        <v>171440</v>
      </c>
      <c r="E186" s="4" t="n">
        <f aca="false">Wheat_Yield_Data!E186</f>
        <v>1850</v>
      </c>
      <c r="F186" s="6" t="s">
        <v>108</v>
      </c>
      <c r="G186" s="2" t="s">
        <v>23</v>
      </c>
      <c r="H186" s="6" t="s">
        <v>99</v>
      </c>
      <c r="I186" s="2" t="s">
        <v>100</v>
      </c>
      <c r="J186" s="6" t="s">
        <v>300</v>
      </c>
    </row>
    <row r="187" customFormat="false" ht="46.25" hidden="false" customHeight="false" outlineLevel="0" collapsed="false">
      <c r="A187" s="2" t="str">
        <f aca="false">Wheat_Yield_Data!A187</f>
        <v>Khushab</v>
      </c>
      <c r="B187" s="2" t="str">
        <f aca="false">Wheat_Yield_Data!B187</f>
        <v>2015-16</v>
      </c>
      <c r="C187" s="3" t="n">
        <f aca="false">Wheat_Yield_Data!C187</f>
        <v>95910</v>
      </c>
      <c r="D187" s="3" t="n">
        <f aca="false">Wheat_Yield_Data!D187</f>
        <v>189010</v>
      </c>
      <c r="E187" s="5" t="n">
        <f aca="false">Wheat_Yield_Data!E187</f>
        <v>1970.70169950996</v>
      </c>
      <c r="F187" s="6" t="s">
        <v>110</v>
      </c>
      <c r="G187" s="2" t="s">
        <v>23</v>
      </c>
      <c r="H187" s="6" t="s">
        <v>99</v>
      </c>
      <c r="I187" s="2" t="s">
        <v>111</v>
      </c>
      <c r="J187" s="6" t="s">
        <v>301</v>
      </c>
    </row>
    <row r="188" customFormat="false" ht="46.25" hidden="false" customHeight="false" outlineLevel="0" collapsed="false">
      <c r="A188" s="2" t="str">
        <f aca="false">Wheat_Yield_Data!A188</f>
        <v>Khushab</v>
      </c>
      <c r="B188" s="2" t="str">
        <f aca="false">Wheat_Yield_Data!B188</f>
        <v>2016-17</v>
      </c>
      <c r="C188" s="3" t="n">
        <f aca="false">Wheat_Yield_Data!C188</f>
        <v>89840</v>
      </c>
      <c r="D188" s="3" t="n">
        <f aca="false">Wheat_Yield_Data!D188</f>
        <v>192510</v>
      </c>
      <c r="E188" s="4" t="n">
        <f aca="false">Wheat_Yield_Data!E188</f>
        <v>2143</v>
      </c>
      <c r="F188" s="6" t="s">
        <v>113</v>
      </c>
      <c r="G188" s="2" t="s">
        <v>29</v>
      </c>
      <c r="H188" s="6" t="s">
        <v>114</v>
      </c>
      <c r="I188" s="2" t="s">
        <v>100</v>
      </c>
      <c r="J188" s="6" t="s">
        <v>302</v>
      </c>
    </row>
    <row r="189" customFormat="false" ht="46.25" hidden="false" customHeight="false" outlineLevel="0" collapsed="false">
      <c r="A189" s="2" t="str">
        <f aca="false">Wheat_Yield_Data!A189</f>
        <v>Khushab</v>
      </c>
      <c r="B189" s="2" t="str">
        <f aca="false">Wheat_Yield_Data!B189</f>
        <v>2017-18</v>
      </c>
      <c r="C189" s="3" t="n">
        <f aca="false">Wheat_Yield_Data!C189</f>
        <v>93070</v>
      </c>
      <c r="D189" s="3" t="n">
        <f aca="false">Wheat_Yield_Data!D189</f>
        <v>191530</v>
      </c>
      <c r="E189" s="4" t="n">
        <f aca="false">Wheat_Yield_Data!E189</f>
        <v>2058</v>
      </c>
      <c r="F189" s="6" t="s">
        <v>116</v>
      </c>
      <c r="G189" s="2" t="s">
        <v>29</v>
      </c>
      <c r="H189" s="6" t="s">
        <v>114</v>
      </c>
      <c r="I189" s="2" t="s">
        <v>100</v>
      </c>
      <c r="J189" s="6" t="s">
        <v>303</v>
      </c>
    </row>
    <row r="190" customFormat="false" ht="46.25" hidden="false" customHeight="false" outlineLevel="0" collapsed="false">
      <c r="A190" s="2" t="str">
        <f aca="false">Wheat_Yield_Data!A190</f>
        <v>Khushab</v>
      </c>
      <c r="B190" s="2" t="str">
        <f aca="false">Wheat_Yield_Data!B190</f>
        <v>2018-19</v>
      </c>
      <c r="C190" s="3" t="n">
        <f aca="false">Wheat_Yield_Data!C190</f>
        <v>94700</v>
      </c>
      <c r="D190" s="3" t="n">
        <f aca="false">Wheat_Yield_Data!D190</f>
        <v>167450</v>
      </c>
      <c r="E190" s="4" t="n">
        <f aca="false">Wheat_Yield_Data!E190</f>
        <v>1768</v>
      </c>
      <c r="F190" s="6" t="s">
        <v>118</v>
      </c>
      <c r="G190" s="2" t="s">
        <v>34</v>
      </c>
      <c r="H190" s="6" t="s">
        <v>114</v>
      </c>
      <c r="I190" s="2" t="s">
        <v>100</v>
      </c>
      <c r="J190" s="6" t="s">
        <v>304</v>
      </c>
    </row>
    <row r="191" customFormat="false" ht="35.05" hidden="false" customHeight="false" outlineLevel="0" collapsed="false">
      <c r="A191" s="2" t="str">
        <f aca="false">Wheat_Yield_Data!A191</f>
        <v>Khushab</v>
      </c>
      <c r="B191" s="2" t="str">
        <f aca="false">Wheat_Yield_Data!B191</f>
        <v>2020-21</v>
      </c>
      <c r="C191" s="3" t="n">
        <f aca="false">Wheat_Yield_Data!C191</f>
        <v>128280</v>
      </c>
      <c r="D191" s="3" t="n">
        <f aca="false">Wheat_Yield_Data!D191</f>
        <v>288590</v>
      </c>
      <c r="E191" s="4" t="n">
        <f aca="false">Wheat_Yield_Data!E191</f>
        <v>2250</v>
      </c>
      <c r="F191" s="6" t="s">
        <v>120</v>
      </c>
      <c r="G191" s="2" t="s">
        <v>37</v>
      </c>
      <c r="H191" s="6" t="s">
        <v>121</v>
      </c>
      <c r="I191" s="2" t="s">
        <v>100</v>
      </c>
      <c r="J191" s="6" t="s">
        <v>305</v>
      </c>
    </row>
    <row r="192" customFormat="false" ht="35.05" hidden="false" customHeight="false" outlineLevel="0" collapsed="false">
      <c r="A192" s="2" t="str">
        <f aca="false">Wheat_Yield_Data!A192</f>
        <v>Khushab</v>
      </c>
      <c r="B192" s="2" t="str">
        <f aca="false">Wheat_Yield_Data!B192</f>
        <v>2021-22</v>
      </c>
      <c r="C192" s="3" t="n">
        <f aca="false">Wheat_Yield_Data!C192</f>
        <v>139210</v>
      </c>
      <c r="D192" s="3" t="n">
        <f aca="false">Wheat_Yield_Data!D192</f>
        <v>287970</v>
      </c>
      <c r="E192" s="4" t="n">
        <f aca="false">Wheat_Yield_Data!E192</f>
        <v>2069</v>
      </c>
      <c r="F192" s="6" t="s">
        <v>123</v>
      </c>
      <c r="G192" s="2" t="s">
        <v>37</v>
      </c>
      <c r="H192" s="6" t="s">
        <v>121</v>
      </c>
      <c r="I192" s="2" t="s">
        <v>100</v>
      </c>
      <c r="J192" s="6" t="s">
        <v>306</v>
      </c>
    </row>
    <row r="193" customFormat="false" ht="23.85" hidden="false" customHeight="false" outlineLevel="0" collapsed="false">
      <c r="A193" s="2" t="str">
        <f aca="false">Wheat_Yield_Data!A193</f>
        <v>Khushab</v>
      </c>
      <c r="B193" s="2" t="str">
        <f aca="false">Wheat_Yield_Data!B193</f>
        <v>2022-23</v>
      </c>
      <c r="C193" s="3" t="n">
        <f aca="false">Wheat_Yield_Data!C193</f>
        <v>123000</v>
      </c>
      <c r="D193" s="3" t="n">
        <f aca="false">Wheat_Yield_Data!D193</f>
        <v>290800</v>
      </c>
      <c r="E193" s="4" t="n">
        <f aca="false">Wheat_Yield_Data!E193</f>
        <v>2363</v>
      </c>
      <c r="F193" s="6" t="s">
        <v>125</v>
      </c>
      <c r="G193" s="2" t="s">
        <v>43</v>
      </c>
      <c r="H193" s="6" t="s">
        <v>126</v>
      </c>
      <c r="I193" s="2" t="s">
        <v>100</v>
      </c>
      <c r="J193" s="6" t="s">
        <v>307</v>
      </c>
    </row>
    <row r="194" customFormat="false" ht="23.85" hidden="false" customHeight="false" outlineLevel="0" collapsed="false">
      <c r="A194" s="2" t="str">
        <f aca="false">Wheat_Yield_Data!A194</f>
        <v>Kot Addu</v>
      </c>
      <c r="B194" s="2" t="str">
        <f aca="false">Wheat_Yield_Data!B194</f>
        <v>2022-23</v>
      </c>
      <c r="C194" s="3" t="n">
        <f aca="false">Wheat_Yield_Data!C194</f>
        <v>93100</v>
      </c>
      <c r="D194" s="3" t="n">
        <f aca="false">Wheat_Yield_Data!D194</f>
        <v>269800</v>
      </c>
      <c r="E194" s="4" t="n">
        <f aca="false">Wheat_Yield_Data!E194</f>
        <v>2899</v>
      </c>
      <c r="F194" s="6" t="s">
        <v>125</v>
      </c>
      <c r="G194" s="2" t="s">
        <v>43</v>
      </c>
      <c r="H194" s="6" t="s">
        <v>126</v>
      </c>
      <c r="I194" s="2" t="s">
        <v>100</v>
      </c>
      <c r="J194" s="6" t="s">
        <v>308</v>
      </c>
    </row>
    <row r="195" customFormat="false" ht="35.05" hidden="false" customHeight="false" outlineLevel="0" collapsed="false">
      <c r="A195" s="2" t="str">
        <f aca="false">Wheat_Yield_Data!A195</f>
        <v>Lahore</v>
      </c>
      <c r="B195" s="2" t="str">
        <f aca="false">Wheat_Yield_Data!B195</f>
        <v>2010-11</v>
      </c>
      <c r="C195" s="3" t="n">
        <f aca="false">Wheat_Yield_Data!C195</f>
        <v>64750</v>
      </c>
      <c r="D195" s="3" t="n">
        <f aca="false">Wheat_Yield_Data!D195</f>
        <v>185850</v>
      </c>
      <c r="E195" s="4" t="n">
        <f aca="false">Wheat_Yield_Data!E195</f>
        <v>2870</v>
      </c>
      <c r="F195" s="6" t="s">
        <v>98</v>
      </c>
      <c r="G195" s="2" t="s">
        <v>11</v>
      </c>
      <c r="H195" s="6" t="s">
        <v>99</v>
      </c>
      <c r="I195" s="2" t="s">
        <v>100</v>
      </c>
      <c r="J195" s="6" t="s">
        <v>309</v>
      </c>
    </row>
    <row r="196" customFormat="false" ht="35.05" hidden="false" customHeight="false" outlineLevel="0" collapsed="false">
      <c r="A196" s="2" t="str">
        <f aca="false">Wheat_Yield_Data!A196</f>
        <v>Lahore</v>
      </c>
      <c r="B196" s="2" t="str">
        <f aca="false">Wheat_Yield_Data!B196</f>
        <v>2011-12</v>
      </c>
      <c r="C196" s="3" t="n">
        <f aca="false">Wheat_Yield_Data!C196</f>
        <v>63930</v>
      </c>
      <c r="D196" s="3" t="n">
        <f aca="false">Wheat_Yield_Data!D196</f>
        <v>191810</v>
      </c>
      <c r="E196" s="4" t="n">
        <f aca="false">Wheat_Yield_Data!E196</f>
        <v>3000</v>
      </c>
      <c r="F196" s="6" t="s">
        <v>102</v>
      </c>
      <c r="G196" s="2" t="s">
        <v>11</v>
      </c>
      <c r="H196" s="6" t="s">
        <v>99</v>
      </c>
      <c r="I196" s="2" t="s">
        <v>100</v>
      </c>
      <c r="J196" s="6" t="s">
        <v>310</v>
      </c>
    </row>
    <row r="197" customFormat="false" ht="46.25" hidden="false" customHeight="false" outlineLevel="0" collapsed="false">
      <c r="A197" s="2" t="str">
        <f aca="false">Wheat_Yield_Data!A197</f>
        <v>Lahore</v>
      </c>
      <c r="B197" s="2" t="str">
        <f aca="false">Wheat_Yield_Data!B197</f>
        <v>2012-13</v>
      </c>
      <c r="C197" s="3" t="n">
        <f aca="false">Wheat_Yield_Data!C197</f>
        <v>57470</v>
      </c>
      <c r="D197" s="3" t="n">
        <f aca="false">Wheat_Yield_Data!D197</f>
        <v>177250</v>
      </c>
      <c r="E197" s="4" t="n">
        <f aca="false">Wheat_Yield_Data!E197</f>
        <v>3084</v>
      </c>
      <c r="F197" s="6" t="s">
        <v>104</v>
      </c>
      <c r="G197" s="2" t="s">
        <v>18</v>
      </c>
      <c r="H197" s="6" t="s">
        <v>99</v>
      </c>
      <c r="I197" s="2" t="s">
        <v>100</v>
      </c>
      <c r="J197" s="6" t="s">
        <v>311</v>
      </c>
    </row>
    <row r="198" customFormat="false" ht="35.05" hidden="false" customHeight="false" outlineLevel="0" collapsed="false">
      <c r="A198" s="2" t="str">
        <f aca="false">Wheat_Yield_Data!A198</f>
        <v>Lahore</v>
      </c>
      <c r="B198" s="2" t="str">
        <f aca="false">Wheat_Yield_Data!B198</f>
        <v>2013-14</v>
      </c>
      <c r="C198" s="3" t="n">
        <f aca="false">Wheat_Yield_Data!C198</f>
        <v>59490</v>
      </c>
      <c r="D198" s="3" t="n">
        <f aca="false">Wheat_Yield_Data!D198</f>
        <v>174000</v>
      </c>
      <c r="E198" s="4" t="n">
        <f aca="false">Wheat_Yield_Data!E198</f>
        <v>2925</v>
      </c>
      <c r="F198" s="6" t="s">
        <v>106</v>
      </c>
      <c r="G198" s="2" t="s">
        <v>18</v>
      </c>
      <c r="H198" s="6" t="s">
        <v>99</v>
      </c>
      <c r="I198" s="2" t="s">
        <v>100</v>
      </c>
      <c r="J198" s="6" t="s">
        <v>312</v>
      </c>
    </row>
    <row r="199" customFormat="false" ht="35.05" hidden="false" customHeight="false" outlineLevel="0" collapsed="false">
      <c r="A199" s="2" t="str">
        <f aca="false">Wheat_Yield_Data!A199</f>
        <v>Lahore</v>
      </c>
      <c r="B199" s="2" t="str">
        <f aca="false">Wheat_Yield_Data!B199</f>
        <v>2014-15</v>
      </c>
      <c r="C199" s="3" t="n">
        <f aca="false">Wheat_Yield_Data!C199</f>
        <v>59890</v>
      </c>
      <c r="D199" s="3" t="n">
        <f aca="false">Wheat_Yield_Data!D199</f>
        <v>164060</v>
      </c>
      <c r="E199" s="4" t="n">
        <f aca="false">Wheat_Yield_Data!E199</f>
        <v>2739</v>
      </c>
      <c r="F199" s="6" t="s">
        <v>108</v>
      </c>
      <c r="G199" s="2" t="s">
        <v>23</v>
      </c>
      <c r="H199" s="6" t="s">
        <v>99</v>
      </c>
      <c r="I199" s="2" t="s">
        <v>100</v>
      </c>
      <c r="J199" s="6" t="s">
        <v>313</v>
      </c>
    </row>
    <row r="200" customFormat="false" ht="35.05" hidden="false" customHeight="false" outlineLevel="0" collapsed="false">
      <c r="A200" s="2" t="str">
        <f aca="false">Wheat_Yield_Data!A200</f>
        <v>Lahore</v>
      </c>
      <c r="B200" s="2" t="str">
        <f aca="false">Wheat_Yield_Data!B200</f>
        <v>2015-16</v>
      </c>
      <c r="C200" s="3" t="n">
        <f aca="false">Wheat_Yield_Data!C200</f>
        <v>57060</v>
      </c>
      <c r="D200" s="3" t="n">
        <f aca="false">Wheat_Yield_Data!D200</f>
        <v>170150</v>
      </c>
      <c r="E200" s="4" t="n">
        <f aca="false">Wheat_Yield_Data!E200</f>
        <v>2982</v>
      </c>
      <c r="F200" s="6" t="s">
        <v>110</v>
      </c>
      <c r="G200" s="2" t="s">
        <v>23</v>
      </c>
      <c r="H200" s="6" t="s">
        <v>99</v>
      </c>
      <c r="I200" s="2" t="s">
        <v>100</v>
      </c>
      <c r="J200" s="6" t="s">
        <v>314</v>
      </c>
    </row>
    <row r="201" customFormat="false" ht="46.25" hidden="false" customHeight="false" outlineLevel="0" collapsed="false">
      <c r="A201" s="2" t="str">
        <f aca="false">Wheat_Yield_Data!A201</f>
        <v>Lahore</v>
      </c>
      <c r="B201" s="2" t="str">
        <f aca="false">Wheat_Yield_Data!B201</f>
        <v>2016-17</v>
      </c>
      <c r="C201" s="3" t="n">
        <f aca="false">Wheat_Yield_Data!C201</f>
        <v>57460</v>
      </c>
      <c r="D201" s="3" t="n">
        <f aca="false">Wheat_Yield_Data!D201</f>
        <v>181120</v>
      </c>
      <c r="E201" s="4" t="n">
        <f aca="false">Wheat_Yield_Data!E201</f>
        <v>3152</v>
      </c>
      <c r="F201" s="6" t="s">
        <v>113</v>
      </c>
      <c r="G201" s="2" t="s">
        <v>29</v>
      </c>
      <c r="H201" s="6" t="s">
        <v>114</v>
      </c>
      <c r="I201" s="2" t="s">
        <v>100</v>
      </c>
      <c r="J201" s="6" t="s">
        <v>315</v>
      </c>
    </row>
    <row r="202" customFormat="false" ht="46.25" hidden="false" customHeight="false" outlineLevel="0" collapsed="false">
      <c r="A202" s="2" t="str">
        <f aca="false">Wheat_Yield_Data!A202</f>
        <v>Lahore</v>
      </c>
      <c r="B202" s="2" t="str">
        <f aca="false">Wheat_Yield_Data!B202</f>
        <v>2017-18</v>
      </c>
      <c r="C202" s="3" t="n">
        <f aca="false">Wheat_Yield_Data!C202</f>
        <v>55040</v>
      </c>
      <c r="D202" s="3" t="n">
        <f aca="false">Wheat_Yield_Data!D202</f>
        <v>171670</v>
      </c>
      <c r="E202" s="4" t="n">
        <f aca="false">Wheat_Yield_Data!E202</f>
        <v>3119</v>
      </c>
      <c r="F202" s="6" t="s">
        <v>116</v>
      </c>
      <c r="G202" s="2" t="s">
        <v>29</v>
      </c>
      <c r="H202" s="6" t="s">
        <v>114</v>
      </c>
      <c r="I202" s="2" t="s">
        <v>100</v>
      </c>
      <c r="J202" s="6" t="s">
        <v>316</v>
      </c>
    </row>
    <row r="203" customFormat="false" ht="46.25" hidden="false" customHeight="false" outlineLevel="0" collapsed="false">
      <c r="A203" s="2" t="str">
        <f aca="false">Wheat_Yield_Data!A203</f>
        <v>Lahore</v>
      </c>
      <c r="B203" s="2" t="str">
        <f aca="false">Wheat_Yield_Data!B203</f>
        <v>2018-19</v>
      </c>
      <c r="C203" s="3" t="n">
        <f aca="false">Wheat_Yield_Data!C203</f>
        <v>53010</v>
      </c>
      <c r="D203" s="3" t="n">
        <f aca="false">Wheat_Yield_Data!D203</f>
        <v>166980</v>
      </c>
      <c r="E203" s="4" t="n">
        <f aca="false">Wheat_Yield_Data!E203</f>
        <v>3150</v>
      </c>
      <c r="F203" s="6" t="s">
        <v>118</v>
      </c>
      <c r="G203" s="2" t="s">
        <v>34</v>
      </c>
      <c r="H203" s="6" t="s">
        <v>114</v>
      </c>
      <c r="I203" s="2" t="s">
        <v>100</v>
      </c>
      <c r="J203" s="6" t="s">
        <v>317</v>
      </c>
    </row>
    <row r="204" customFormat="false" ht="35.05" hidden="false" customHeight="false" outlineLevel="0" collapsed="false">
      <c r="A204" s="2" t="str">
        <f aca="false">Wheat_Yield_Data!A204</f>
        <v>Lahore</v>
      </c>
      <c r="B204" s="2" t="str">
        <f aca="false">Wheat_Yield_Data!B204</f>
        <v>2020-21</v>
      </c>
      <c r="C204" s="3" t="n">
        <f aca="false">Wheat_Yield_Data!C204</f>
        <v>42090</v>
      </c>
      <c r="D204" s="3" t="n">
        <f aca="false">Wheat_Yield_Data!D204</f>
        <v>135120</v>
      </c>
      <c r="E204" s="4" t="n">
        <f aca="false">Wheat_Yield_Data!E204</f>
        <v>3210</v>
      </c>
      <c r="F204" s="6" t="s">
        <v>120</v>
      </c>
      <c r="G204" s="2" t="s">
        <v>37</v>
      </c>
      <c r="H204" s="6" t="s">
        <v>121</v>
      </c>
      <c r="I204" s="2" t="s">
        <v>100</v>
      </c>
      <c r="J204" s="6" t="s">
        <v>318</v>
      </c>
    </row>
    <row r="205" customFormat="false" ht="35.05" hidden="false" customHeight="false" outlineLevel="0" collapsed="false">
      <c r="A205" s="2" t="str">
        <f aca="false">Wheat_Yield_Data!A205</f>
        <v>Lahore</v>
      </c>
      <c r="B205" s="2" t="str">
        <f aca="false">Wheat_Yield_Data!B205</f>
        <v>2021-22</v>
      </c>
      <c r="C205" s="3" t="n">
        <f aca="false">Wheat_Yield_Data!C205</f>
        <v>43710</v>
      </c>
      <c r="D205" s="3" t="n">
        <f aca="false">Wheat_Yield_Data!D205</f>
        <v>150120</v>
      </c>
      <c r="E205" s="4" t="n">
        <f aca="false">Wheat_Yield_Data!E205</f>
        <v>3435</v>
      </c>
      <c r="F205" s="6" t="s">
        <v>123</v>
      </c>
      <c r="G205" s="2" t="s">
        <v>37</v>
      </c>
      <c r="H205" s="6" t="s">
        <v>121</v>
      </c>
      <c r="I205" s="2" t="s">
        <v>100</v>
      </c>
      <c r="J205" s="6" t="s">
        <v>319</v>
      </c>
    </row>
    <row r="206" customFormat="false" ht="23.85" hidden="false" customHeight="false" outlineLevel="0" collapsed="false">
      <c r="A206" s="2" t="str">
        <f aca="false">Wheat_Yield_Data!A206</f>
        <v>Lahore</v>
      </c>
      <c r="B206" s="2" t="str">
        <f aca="false">Wheat_Yield_Data!B206</f>
        <v>2022-23</v>
      </c>
      <c r="C206" s="3" t="n">
        <f aca="false">Wheat_Yield_Data!C206</f>
        <v>45700</v>
      </c>
      <c r="D206" s="3" t="n">
        <f aca="false">Wheat_Yield_Data!D206</f>
        <v>159600</v>
      </c>
      <c r="E206" s="4" t="n">
        <f aca="false">Wheat_Yield_Data!E206</f>
        <v>3490</v>
      </c>
      <c r="F206" s="6" t="s">
        <v>125</v>
      </c>
      <c r="G206" s="2" t="s">
        <v>43</v>
      </c>
      <c r="H206" s="6" t="s">
        <v>126</v>
      </c>
      <c r="I206" s="2" t="s">
        <v>100</v>
      </c>
      <c r="J206" s="6" t="s">
        <v>320</v>
      </c>
    </row>
    <row r="207" customFormat="false" ht="35.05" hidden="false" customHeight="false" outlineLevel="0" collapsed="false">
      <c r="A207" s="2" t="str">
        <f aca="false">Wheat_Yield_Data!A207</f>
        <v>Layyah</v>
      </c>
      <c r="B207" s="2" t="str">
        <f aca="false">Wheat_Yield_Data!B207</f>
        <v>2010-11</v>
      </c>
      <c r="C207" s="3" t="n">
        <f aca="false">Wheat_Yield_Data!C207</f>
        <v>196680</v>
      </c>
      <c r="D207" s="3" t="n">
        <f aca="false">Wheat_Yield_Data!D207</f>
        <v>554180</v>
      </c>
      <c r="E207" s="4" t="n">
        <f aca="false">Wheat_Yield_Data!E207</f>
        <v>2818</v>
      </c>
      <c r="F207" s="6" t="s">
        <v>98</v>
      </c>
      <c r="G207" s="2" t="s">
        <v>11</v>
      </c>
      <c r="H207" s="6" t="s">
        <v>99</v>
      </c>
      <c r="I207" s="2" t="s">
        <v>100</v>
      </c>
      <c r="J207" s="6" t="s">
        <v>321</v>
      </c>
    </row>
    <row r="208" customFormat="false" ht="35.05" hidden="false" customHeight="false" outlineLevel="0" collapsed="false">
      <c r="A208" s="2" t="str">
        <f aca="false">Wheat_Yield_Data!A208</f>
        <v>Layyah</v>
      </c>
      <c r="B208" s="2" t="str">
        <f aca="false">Wheat_Yield_Data!B208</f>
        <v>2011-12</v>
      </c>
      <c r="C208" s="3" t="n">
        <f aca="false">Wheat_Yield_Data!C208</f>
        <v>191420</v>
      </c>
      <c r="D208" s="3" t="n">
        <f aca="false">Wheat_Yield_Data!D208</f>
        <v>456020</v>
      </c>
      <c r="E208" s="4" t="n">
        <f aca="false">Wheat_Yield_Data!E208</f>
        <v>2382</v>
      </c>
      <c r="F208" s="6" t="s">
        <v>102</v>
      </c>
      <c r="G208" s="2" t="s">
        <v>11</v>
      </c>
      <c r="H208" s="6" t="s">
        <v>99</v>
      </c>
      <c r="I208" s="2" t="s">
        <v>100</v>
      </c>
      <c r="J208" s="6" t="s">
        <v>322</v>
      </c>
    </row>
    <row r="209" customFormat="false" ht="46.25" hidden="false" customHeight="false" outlineLevel="0" collapsed="false">
      <c r="A209" s="2" t="str">
        <f aca="false">Wheat_Yield_Data!A209</f>
        <v>Layyah</v>
      </c>
      <c r="B209" s="2" t="str">
        <f aca="false">Wheat_Yield_Data!B209</f>
        <v>2012-13</v>
      </c>
      <c r="C209" s="3" t="n">
        <f aca="false">Wheat_Yield_Data!C209</f>
        <v>190600</v>
      </c>
      <c r="D209" s="3" t="n">
        <f aca="false">Wheat_Yield_Data!D209</f>
        <v>498330</v>
      </c>
      <c r="E209" s="4" t="n">
        <f aca="false">Wheat_Yield_Data!E209</f>
        <v>2615</v>
      </c>
      <c r="F209" s="6" t="s">
        <v>104</v>
      </c>
      <c r="G209" s="2" t="s">
        <v>18</v>
      </c>
      <c r="H209" s="6" t="s">
        <v>99</v>
      </c>
      <c r="I209" s="2" t="s">
        <v>100</v>
      </c>
      <c r="J209" s="6" t="s">
        <v>323</v>
      </c>
    </row>
    <row r="210" customFormat="false" ht="35.05" hidden="false" customHeight="false" outlineLevel="0" collapsed="false">
      <c r="A210" s="2" t="str">
        <f aca="false">Wheat_Yield_Data!A210</f>
        <v>Layyah</v>
      </c>
      <c r="B210" s="2" t="str">
        <f aca="false">Wheat_Yield_Data!B210</f>
        <v>2013-14</v>
      </c>
      <c r="C210" s="3" t="n">
        <f aca="false">Wheat_Yield_Data!C210</f>
        <v>216500</v>
      </c>
      <c r="D210" s="3" t="n">
        <f aca="false">Wheat_Yield_Data!D210</f>
        <v>586880</v>
      </c>
      <c r="E210" s="4" t="n">
        <f aca="false">Wheat_Yield_Data!E210</f>
        <v>2711</v>
      </c>
      <c r="F210" s="6" t="s">
        <v>106</v>
      </c>
      <c r="G210" s="2" t="s">
        <v>18</v>
      </c>
      <c r="H210" s="6" t="s">
        <v>99</v>
      </c>
      <c r="I210" s="2" t="s">
        <v>100</v>
      </c>
      <c r="J210" s="6" t="s">
        <v>324</v>
      </c>
    </row>
    <row r="211" customFormat="false" ht="35.05" hidden="false" customHeight="false" outlineLevel="0" collapsed="false">
      <c r="A211" s="2" t="str">
        <f aca="false">Wheat_Yield_Data!A211</f>
        <v>Layyah</v>
      </c>
      <c r="B211" s="2" t="str">
        <f aca="false">Wheat_Yield_Data!B211</f>
        <v>2014-15</v>
      </c>
      <c r="C211" s="3" t="n">
        <f aca="false">Wheat_Yield_Data!C211</f>
        <v>233500</v>
      </c>
      <c r="D211" s="3" t="n">
        <f aca="false">Wheat_Yield_Data!D211</f>
        <v>593500</v>
      </c>
      <c r="E211" s="4" t="n">
        <f aca="false">Wheat_Yield_Data!E211</f>
        <v>2542</v>
      </c>
      <c r="F211" s="6" t="s">
        <v>108</v>
      </c>
      <c r="G211" s="2" t="s">
        <v>23</v>
      </c>
      <c r="H211" s="6" t="s">
        <v>99</v>
      </c>
      <c r="I211" s="2" t="s">
        <v>100</v>
      </c>
      <c r="J211" s="6" t="s">
        <v>325</v>
      </c>
    </row>
    <row r="212" customFormat="false" ht="46.25" hidden="false" customHeight="false" outlineLevel="0" collapsed="false">
      <c r="A212" s="2" t="str">
        <f aca="false">Wheat_Yield_Data!A212</f>
        <v>Layyah</v>
      </c>
      <c r="B212" s="2" t="str">
        <f aca="false">Wheat_Yield_Data!B212</f>
        <v>2015-16</v>
      </c>
      <c r="C212" s="3" t="n">
        <f aca="false">Wheat_Yield_Data!C212</f>
        <v>234310</v>
      </c>
      <c r="D212" s="3" t="n">
        <f aca="false">Wheat_Yield_Data!D212</f>
        <v>604360</v>
      </c>
      <c r="E212" s="5" t="n">
        <f aca="false">Wheat_Yield_Data!E212</f>
        <v>2579.31799752465</v>
      </c>
      <c r="F212" s="6" t="s">
        <v>110</v>
      </c>
      <c r="G212" s="2" t="s">
        <v>23</v>
      </c>
      <c r="H212" s="6" t="s">
        <v>99</v>
      </c>
      <c r="I212" s="2" t="s">
        <v>111</v>
      </c>
      <c r="J212" s="6" t="s">
        <v>326</v>
      </c>
    </row>
    <row r="213" customFormat="false" ht="46.25" hidden="false" customHeight="false" outlineLevel="0" collapsed="false">
      <c r="A213" s="2" t="str">
        <f aca="false">Wheat_Yield_Data!A213</f>
        <v>Layyah</v>
      </c>
      <c r="B213" s="2" t="str">
        <f aca="false">Wheat_Yield_Data!B213</f>
        <v>2016-17</v>
      </c>
      <c r="C213" s="3" t="n">
        <f aca="false">Wheat_Yield_Data!C213</f>
        <v>231060</v>
      </c>
      <c r="D213" s="3" t="n">
        <f aca="false">Wheat_Yield_Data!D213</f>
        <v>702770</v>
      </c>
      <c r="E213" s="4" t="n">
        <f aca="false">Wheat_Yield_Data!E213</f>
        <v>3041</v>
      </c>
      <c r="F213" s="6" t="s">
        <v>113</v>
      </c>
      <c r="G213" s="2" t="s">
        <v>29</v>
      </c>
      <c r="H213" s="6" t="s">
        <v>114</v>
      </c>
      <c r="I213" s="2" t="s">
        <v>100</v>
      </c>
      <c r="J213" s="6" t="s">
        <v>327</v>
      </c>
    </row>
    <row r="214" customFormat="false" ht="46.25" hidden="false" customHeight="false" outlineLevel="0" collapsed="false">
      <c r="A214" s="2" t="str">
        <f aca="false">Wheat_Yield_Data!A214</f>
        <v>Layyah</v>
      </c>
      <c r="B214" s="2" t="str">
        <f aca="false">Wheat_Yield_Data!B214</f>
        <v>2017-18</v>
      </c>
      <c r="C214" s="3" t="n">
        <f aca="false">Wheat_Yield_Data!C214</f>
        <v>221360</v>
      </c>
      <c r="D214" s="3" t="n">
        <f aca="false">Wheat_Yield_Data!D214</f>
        <v>540350</v>
      </c>
      <c r="E214" s="4" t="n">
        <f aca="false">Wheat_Yield_Data!E214</f>
        <v>2441</v>
      </c>
      <c r="F214" s="6" t="s">
        <v>116</v>
      </c>
      <c r="G214" s="2" t="s">
        <v>29</v>
      </c>
      <c r="H214" s="6" t="s">
        <v>114</v>
      </c>
      <c r="I214" s="2" t="s">
        <v>100</v>
      </c>
      <c r="J214" s="6" t="s">
        <v>328</v>
      </c>
    </row>
    <row r="215" customFormat="false" ht="46.25" hidden="false" customHeight="false" outlineLevel="0" collapsed="false">
      <c r="A215" s="2" t="str">
        <f aca="false">Wheat_Yield_Data!A215</f>
        <v>Layyah</v>
      </c>
      <c r="B215" s="2" t="str">
        <f aca="false">Wheat_Yield_Data!B215</f>
        <v>2018-19</v>
      </c>
      <c r="C215" s="3" t="n">
        <f aca="false">Wheat_Yield_Data!C215</f>
        <v>216910</v>
      </c>
      <c r="D215" s="3" t="n">
        <f aca="false">Wheat_Yield_Data!D215</f>
        <v>568970</v>
      </c>
      <c r="E215" s="4" t="n">
        <f aca="false">Wheat_Yield_Data!E215</f>
        <v>2623</v>
      </c>
      <c r="F215" s="6" t="s">
        <v>118</v>
      </c>
      <c r="G215" s="2" t="s">
        <v>34</v>
      </c>
      <c r="H215" s="6" t="s">
        <v>114</v>
      </c>
      <c r="I215" s="2" t="s">
        <v>100</v>
      </c>
      <c r="J215" s="6" t="s">
        <v>329</v>
      </c>
    </row>
    <row r="216" customFormat="false" ht="35.05" hidden="false" customHeight="false" outlineLevel="0" collapsed="false">
      <c r="A216" s="2" t="str">
        <f aca="false">Wheat_Yield_Data!A216</f>
        <v>Layyah</v>
      </c>
      <c r="B216" s="2" t="str">
        <f aca="false">Wheat_Yield_Data!B216</f>
        <v>2020-21</v>
      </c>
      <c r="C216" s="3" t="n">
        <f aca="false">Wheat_Yield_Data!C216</f>
        <v>274780</v>
      </c>
      <c r="D216" s="3" t="n">
        <f aca="false">Wheat_Yield_Data!D216</f>
        <v>777410</v>
      </c>
      <c r="E216" s="4" t="n">
        <f aca="false">Wheat_Yield_Data!E216</f>
        <v>2829</v>
      </c>
      <c r="F216" s="6" t="s">
        <v>120</v>
      </c>
      <c r="G216" s="2" t="s">
        <v>37</v>
      </c>
      <c r="H216" s="6" t="s">
        <v>121</v>
      </c>
      <c r="I216" s="2" t="s">
        <v>100</v>
      </c>
      <c r="J216" s="6" t="s">
        <v>330</v>
      </c>
    </row>
    <row r="217" customFormat="false" ht="35.05" hidden="false" customHeight="false" outlineLevel="0" collapsed="false">
      <c r="A217" s="2" t="str">
        <f aca="false">Wheat_Yield_Data!A217</f>
        <v>Layyah</v>
      </c>
      <c r="B217" s="2" t="str">
        <f aca="false">Wheat_Yield_Data!B217</f>
        <v>2021-22</v>
      </c>
      <c r="C217" s="3" t="n">
        <f aca="false">Wheat_Yield_Data!C217</f>
        <v>273160</v>
      </c>
      <c r="D217" s="3" t="n">
        <f aca="false">Wheat_Yield_Data!D217</f>
        <v>817830</v>
      </c>
      <c r="E217" s="4" t="n">
        <f aca="false">Wheat_Yield_Data!E217</f>
        <v>2994</v>
      </c>
      <c r="F217" s="6" t="s">
        <v>123</v>
      </c>
      <c r="G217" s="2" t="s">
        <v>37</v>
      </c>
      <c r="H217" s="6" t="s">
        <v>121</v>
      </c>
      <c r="I217" s="2" t="s">
        <v>100</v>
      </c>
      <c r="J217" s="6" t="s">
        <v>331</v>
      </c>
    </row>
    <row r="218" customFormat="false" ht="23.85" hidden="false" customHeight="false" outlineLevel="0" collapsed="false">
      <c r="A218" s="2" t="str">
        <f aca="false">Wheat_Yield_Data!A218</f>
        <v>Layyah</v>
      </c>
      <c r="B218" s="2" t="str">
        <f aca="false">Wheat_Yield_Data!B218</f>
        <v>2022-23</v>
      </c>
      <c r="C218" s="3" t="n">
        <f aca="false">Wheat_Yield_Data!C218</f>
        <v>271500</v>
      </c>
      <c r="D218" s="3" t="n">
        <f aca="false">Wheat_Yield_Data!D218</f>
        <v>837900</v>
      </c>
      <c r="E218" s="4" t="n">
        <f aca="false">Wheat_Yield_Data!E218</f>
        <v>3086</v>
      </c>
      <c r="F218" s="6" t="s">
        <v>125</v>
      </c>
      <c r="G218" s="2" t="s">
        <v>43</v>
      </c>
      <c r="H218" s="6" t="s">
        <v>126</v>
      </c>
      <c r="I218" s="2" t="s">
        <v>100</v>
      </c>
      <c r="J218" s="6" t="s">
        <v>332</v>
      </c>
    </row>
    <row r="219" customFormat="false" ht="35.05" hidden="false" customHeight="false" outlineLevel="0" collapsed="false">
      <c r="A219" s="2" t="str">
        <f aca="false">Wheat_Yield_Data!A219</f>
        <v>Lodhran</v>
      </c>
      <c r="B219" s="2" t="str">
        <f aca="false">Wheat_Yield_Data!B219</f>
        <v>2010-11</v>
      </c>
      <c r="C219" s="3" t="n">
        <f aca="false">Wheat_Yield_Data!C219</f>
        <v>185750</v>
      </c>
      <c r="D219" s="3" t="n">
        <f aca="false">Wheat_Yield_Data!D219</f>
        <v>580430</v>
      </c>
      <c r="E219" s="4" t="n">
        <f aca="false">Wheat_Yield_Data!E219</f>
        <v>3125</v>
      </c>
      <c r="F219" s="6" t="s">
        <v>98</v>
      </c>
      <c r="G219" s="2" t="s">
        <v>11</v>
      </c>
      <c r="H219" s="6" t="s">
        <v>99</v>
      </c>
      <c r="I219" s="2" t="s">
        <v>100</v>
      </c>
      <c r="J219" s="6" t="s">
        <v>333</v>
      </c>
    </row>
    <row r="220" customFormat="false" ht="35.05" hidden="false" customHeight="false" outlineLevel="0" collapsed="false">
      <c r="A220" s="2" t="str">
        <f aca="false">Wheat_Yield_Data!A220</f>
        <v>Lodhran</v>
      </c>
      <c r="B220" s="2" t="str">
        <f aca="false">Wheat_Yield_Data!B220</f>
        <v>2011-12</v>
      </c>
      <c r="C220" s="3" t="n">
        <f aca="false">Wheat_Yield_Data!C220</f>
        <v>166320</v>
      </c>
      <c r="D220" s="3" t="n">
        <f aca="false">Wheat_Yield_Data!D220</f>
        <v>500400</v>
      </c>
      <c r="E220" s="4" t="n">
        <f aca="false">Wheat_Yield_Data!E220</f>
        <v>3009</v>
      </c>
      <c r="F220" s="6" t="s">
        <v>102</v>
      </c>
      <c r="G220" s="2" t="s">
        <v>11</v>
      </c>
      <c r="H220" s="6" t="s">
        <v>99</v>
      </c>
      <c r="I220" s="2" t="s">
        <v>100</v>
      </c>
      <c r="J220" s="6" t="s">
        <v>334</v>
      </c>
    </row>
    <row r="221" customFormat="false" ht="46.25" hidden="false" customHeight="false" outlineLevel="0" collapsed="false">
      <c r="A221" s="2" t="str">
        <f aca="false">Wheat_Yield_Data!A221</f>
        <v>Lodhran</v>
      </c>
      <c r="B221" s="2" t="str">
        <f aca="false">Wheat_Yield_Data!B221</f>
        <v>2012-13</v>
      </c>
      <c r="C221" s="3" t="n">
        <f aca="false">Wheat_Yield_Data!C221</f>
        <v>192220</v>
      </c>
      <c r="D221" s="3" t="n">
        <f aca="false">Wheat_Yield_Data!D221</f>
        <v>609710</v>
      </c>
      <c r="E221" s="4" t="n">
        <f aca="false">Wheat_Yield_Data!E221</f>
        <v>3172</v>
      </c>
      <c r="F221" s="6" t="s">
        <v>104</v>
      </c>
      <c r="G221" s="2" t="s">
        <v>18</v>
      </c>
      <c r="H221" s="6" t="s">
        <v>99</v>
      </c>
      <c r="I221" s="2" t="s">
        <v>100</v>
      </c>
      <c r="J221" s="6" t="s">
        <v>335</v>
      </c>
    </row>
    <row r="222" customFormat="false" ht="35.05" hidden="false" customHeight="false" outlineLevel="0" collapsed="false">
      <c r="A222" s="2" t="str">
        <f aca="false">Wheat_Yield_Data!A222</f>
        <v>Lodhran</v>
      </c>
      <c r="B222" s="2" t="str">
        <f aca="false">Wheat_Yield_Data!B222</f>
        <v>2013-14</v>
      </c>
      <c r="C222" s="3" t="n">
        <f aca="false">Wheat_Yield_Data!C222</f>
        <v>208000</v>
      </c>
      <c r="D222" s="3" t="n">
        <f aca="false">Wheat_Yield_Data!D222</f>
        <v>681060</v>
      </c>
      <c r="E222" s="4" t="n">
        <f aca="false">Wheat_Yield_Data!E222</f>
        <v>3274</v>
      </c>
      <c r="F222" s="6" t="s">
        <v>106</v>
      </c>
      <c r="G222" s="2" t="s">
        <v>18</v>
      </c>
      <c r="H222" s="6" t="s">
        <v>99</v>
      </c>
      <c r="I222" s="2" t="s">
        <v>100</v>
      </c>
      <c r="J222" s="6" t="s">
        <v>336</v>
      </c>
    </row>
    <row r="223" customFormat="false" ht="35.05" hidden="false" customHeight="false" outlineLevel="0" collapsed="false">
      <c r="A223" s="2" t="str">
        <f aca="false">Wheat_Yield_Data!A223</f>
        <v>Lodhran</v>
      </c>
      <c r="B223" s="2" t="str">
        <f aca="false">Wheat_Yield_Data!B223</f>
        <v>2014-15</v>
      </c>
      <c r="C223" s="3" t="n">
        <f aca="false">Wheat_Yield_Data!C223</f>
        <v>203960</v>
      </c>
      <c r="D223" s="3" t="n">
        <f aca="false">Wheat_Yield_Data!D223</f>
        <v>636770</v>
      </c>
      <c r="E223" s="4" t="n">
        <f aca="false">Wheat_Yield_Data!E223</f>
        <v>3122</v>
      </c>
      <c r="F223" s="6" t="s">
        <v>108</v>
      </c>
      <c r="G223" s="2" t="s">
        <v>23</v>
      </c>
      <c r="H223" s="6" t="s">
        <v>99</v>
      </c>
      <c r="I223" s="2" t="s">
        <v>100</v>
      </c>
      <c r="J223" s="6" t="s">
        <v>337</v>
      </c>
    </row>
    <row r="224" customFormat="false" ht="35.05" hidden="false" customHeight="false" outlineLevel="0" collapsed="false">
      <c r="A224" s="2" t="str">
        <f aca="false">Wheat_Yield_Data!A224</f>
        <v>Lodhran</v>
      </c>
      <c r="B224" s="2" t="str">
        <f aca="false">Wheat_Yield_Data!B224</f>
        <v>2015-16</v>
      </c>
      <c r="C224" s="3" t="n">
        <f aca="false">Wheat_Yield_Data!C224</f>
        <v>203150</v>
      </c>
      <c r="D224" s="3" t="n">
        <f aca="false">Wheat_Yield_Data!D224</f>
        <v>688020</v>
      </c>
      <c r="E224" s="4" t="n">
        <f aca="false">Wheat_Yield_Data!E224</f>
        <v>3387</v>
      </c>
      <c r="F224" s="6" t="s">
        <v>110</v>
      </c>
      <c r="G224" s="2" t="s">
        <v>23</v>
      </c>
      <c r="H224" s="6" t="s">
        <v>99</v>
      </c>
      <c r="I224" s="2" t="s">
        <v>100</v>
      </c>
      <c r="J224" s="6" t="s">
        <v>338</v>
      </c>
    </row>
    <row r="225" customFormat="false" ht="46.25" hidden="false" customHeight="false" outlineLevel="0" collapsed="false">
      <c r="A225" s="2" t="str">
        <f aca="false">Wheat_Yield_Data!A225</f>
        <v>Lodhran</v>
      </c>
      <c r="B225" s="2" t="str">
        <f aca="false">Wheat_Yield_Data!B225</f>
        <v>2016-17</v>
      </c>
      <c r="C225" s="3" t="n">
        <f aca="false">Wheat_Yield_Data!C225</f>
        <v>205170</v>
      </c>
      <c r="D225" s="3" t="n">
        <f aca="false">Wheat_Yield_Data!D225</f>
        <v>796680</v>
      </c>
      <c r="E225" s="4" t="n">
        <f aca="false">Wheat_Yield_Data!E225</f>
        <v>3883</v>
      </c>
      <c r="F225" s="6" t="s">
        <v>113</v>
      </c>
      <c r="G225" s="2" t="s">
        <v>29</v>
      </c>
      <c r="H225" s="6" t="s">
        <v>114</v>
      </c>
      <c r="I225" s="2" t="s">
        <v>100</v>
      </c>
      <c r="J225" s="6" t="s">
        <v>339</v>
      </c>
    </row>
    <row r="226" customFormat="false" ht="46.25" hidden="false" customHeight="false" outlineLevel="0" collapsed="false">
      <c r="A226" s="2" t="str">
        <f aca="false">Wheat_Yield_Data!A226</f>
        <v>Lodhran</v>
      </c>
      <c r="B226" s="2" t="str">
        <f aca="false">Wheat_Yield_Data!B226</f>
        <v>2017-18</v>
      </c>
      <c r="C226" s="3" t="n">
        <f aca="false">Wheat_Yield_Data!C226</f>
        <v>204360</v>
      </c>
      <c r="D226" s="3" t="n">
        <f aca="false">Wheat_Yield_Data!D226</f>
        <v>698160</v>
      </c>
      <c r="E226" s="4" t="n">
        <f aca="false">Wheat_Yield_Data!E226</f>
        <v>3416</v>
      </c>
      <c r="F226" s="6" t="s">
        <v>116</v>
      </c>
      <c r="G226" s="2" t="s">
        <v>29</v>
      </c>
      <c r="H226" s="6" t="s">
        <v>114</v>
      </c>
      <c r="I226" s="2" t="s">
        <v>100</v>
      </c>
      <c r="J226" s="6" t="s">
        <v>340</v>
      </c>
    </row>
    <row r="227" customFormat="false" ht="46.25" hidden="false" customHeight="false" outlineLevel="0" collapsed="false">
      <c r="A227" s="2" t="str">
        <f aca="false">Wheat_Yield_Data!A227</f>
        <v>Lodhran</v>
      </c>
      <c r="B227" s="2" t="str">
        <f aca="false">Wheat_Yield_Data!B227</f>
        <v>2018-19</v>
      </c>
      <c r="C227" s="3" t="n">
        <f aca="false">Wheat_Yield_Data!C227</f>
        <v>195860</v>
      </c>
      <c r="D227" s="3" t="n">
        <f aca="false">Wheat_Yield_Data!D227</f>
        <v>663530</v>
      </c>
      <c r="E227" s="4" t="n">
        <f aca="false">Wheat_Yield_Data!E227</f>
        <v>3388</v>
      </c>
      <c r="F227" s="6" t="s">
        <v>118</v>
      </c>
      <c r="G227" s="2" t="s">
        <v>34</v>
      </c>
      <c r="H227" s="6" t="s">
        <v>114</v>
      </c>
      <c r="I227" s="2" t="s">
        <v>100</v>
      </c>
      <c r="J227" s="6" t="s">
        <v>341</v>
      </c>
    </row>
    <row r="228" customFormat="false" ht="35.05" hidden="false" customHeight="false" outlineLevel="0" collapsed="false">
      <c r="A228" s="2" t="str">
        <f aca="false">Wheat_Yield_Data!A228</f>
        <v>Lodhran</v>
      </c>
      <c r="B228" s="2" t="str">
        <f aca="false">Wheat_Yield_Data!B228</f>
        <v>2020-21</v>
      </c>
      <c r="C228" s="3" t="n">
        <f aca="false">Wheat_Yield_Data!C228</f>
        <v>170370</v>
      </c>
      <c r="D228" s="3" t="n">
        <f aca="false">Wheat_Yield_Data!D228</f>
        <v>575930</v>
      </c>
      <c r="E228" s="4" t="n">
        <f aca="false">Wheat_Yield_Data!E228</f>
        <v>3380</v>
      </c>
      <c r="F228" s="6" t="s">
        <v>120</v>
      </c>
      <c r="G228" s="2" t="s">
        <v>37</v>
      </c>
      <c r="H228" s="6" t="s">
        <v>121</v>
      </c>
      <c r="I228" s="2" t="s">
        <v>100</v>
      </c>
      <c r="J228" s="6" t="s">
        <v>342</v>
      </c>
    </row>
    <row r="229" customFormat="false" ht="35.05" hidden="false" customHeight="false" outlineLevel="0" collapsed="false">
      <c r="A229" s="2" t="str">
        <f aca="false">Wheat_Yield_Data!A229</f>
        <v>Lodhran</v>
      </c>
      <c r="B229" s="2" t="str">
        <f aca="false">Wheat_Yield_Data!B229</f>
        <v>2021-22</v>
      </c>
      <c r="C229" s="3" t="n">
        <f aca="false">Wheat_Yield_Data!C229</f>
        <v>165510</v>
      </c>
      <c r="D229" s="3" t="n">
        <f aca="false">Wheat_Yield_Data!D229</f>
        <v>622830</v>
      </c>
      <c r="E229" s="4" t="n">
        <f aca="false">Wheat_Yield_Data!E229</f>
        <v>3763</v>
      </c>
      <c r="F229" s="6" t="s">
        <v>123</v>
      </c>
      <c r="G229" s="2" t="s">
        <v>37</v>
      </c>
      <c r="H229" s="6" t="s">
        <v>121</v>
      </c>
      <c r="I229" s="2" t="s">
        <v>100</v>
      </c>
      <c r="J229" s="6" t="s">
        <v>343</v>
      </c>
    </row>
    <row r="230" customFormat="false" ht="23.85" hidden="false" customHeight="false" outlineLevel="0" collapsed="false">
      <c r="A230" s="2" t="str">
        <f aca="false">Wheat_Yield_Data!A230</f>
        <v>Lodhran</v>
      </c>
      <c r="B230" s="2" t="str">
        <f aca="false">Wheat_Yield_Data!B230</f>
        <v>2022-23</v>
      </c>
      <c r="C230" s="3" t="n">
        <f aca="false">Wheat_Yield_Data!C230</f>
        <v>155400</v>
      </c>
      <c r="D230" s="3" t="n">
        <f aca="false">Wheat_Yield_Data!D230</f>
        <v>594700</v>
      </c>
      <c r="E230" s="4" t="n">
        <f aca="false">Wheat_Yield_Data!E230</f>
        <v>3827</v>
      </c>
      <c r="F230" s="6" t="s">
        <v>125</v>
      </c>
      <c r="G230" s="2" t="s">
        <v>43</v>
      </c>
      <c r="H230" s="6" t="s">
        <v>126</v>
      </c>
      <c r="I230" s="2" t="s">
        <v>100</v>
      </c>
      <c r="J230" s="6" t="s">
        <v>344</v>
      </c>
    </row>
    <row r="231" customFormat="false" ht="35.05" hidden="false" customHeight="false" outlineLevel="0" collapsed="false">
      <c r="A231" s="2" t="str">
        <f aca="false">Wheat_Yield_Data!A231</f>
        <v>M.B. Din</v>
      </c>
      <c r="B231" s="2" t="str">
        <f aca="false">Wheat_Yield_Data!B231</f>
        <v>2010-11</v>
      </c>
      <c r="C231" s="3" t="n">
        <f aca="false">Wheat_Yield_Data!C231</f>
        <v>137590</v>
      </c>
      <c r="D231" s="3" t="n">
        <f aca="false">Wheat_Yield_Data!D231</f>
        <v>359050</v>
      </c>
      <c r="E231" s="4" t="n">
        <f aca="false">Wheat_Yield_Data!E231</f>
        <v>2609</v>
      </c>
      <c r="F231" s="6" t="s">
        <v>98</v>
      </c>
      <c r="G231" s="2" t="s">
        <v>11</v>
      </c>
      <c r="H231" s="6" t="s">
        <v>99</v>
      </c>
      <c r="I231" s="2" t="s">
        <v>100</v>
      </c>
      <c r="J231" s="6" t="s">
        <v>345</v>
      </c>
    </row>
    <row r="232" customFormat="false" ht="35.05" hidden="false" customHeight="false" outlineLevel="0" collapsed="false">
      <c r="A232" s="2" t="str">
        <f aca="false">Wheat_Yield_Data!A232</f>
        <v>M.B. Din</v>
      </c>
      <c r="B232" s="2" t="str">
        <f aca="false">Wheat_Yield_Data!B232</f>
        <v>2011-12</v>
      </c>
      <c r="C232" s="3" t="n">
        <f aca="false">Wheat_Yield_Data!C232</f>
        <v>135970</v>
      </c>
      <c r="D232" s="3" t="n">
        <f aca="false">Wheat_Yield_Data!D232</f>
        <v>370570</v>
      </c>
      <c r="E232" s="4" t="n">
        <f aca="false">Wheat_Yield_Data!E232</f>
        <v>2725</v>
      </c>
      <c r="F232" s="6" t="s">
        <v>102</v>
      </c>
      <c r="G232" s="2" t="s">
        <v>11</v>
      </c>
      <c r="H232" s="6" t="s">
        <v>99</v>
      </c>
      <c r="I232" s="2" t="s">
        <v>100</v>
      </c>
      <c r="J232" s="6" t="s">
        <v>346</v>
      </c>
    </row>
    <row r="233" customFormat="false" ht="46.25" hidden="false" customHeight="false" outlineLevel="0" collapsed="false">
      <c r="A233" s="2" t="str">
        <f aca="false">Wheat_Yield_Data!A233</f>
        <v>M.B. Din</v>
      </c>
      <c r="B233" s="2" t="str">
        <f aca="false">Wheat_Yield_Data!B233</f>
        <v>2012-13</v>
      </c>
      <c r="C233" s="3" t="n">
        <f aca="false">Wheat_Yield_Data!C233</f>
        <v>138400</v>
      </c>
      <c r="D233" s="3" t="n">
        <f aca="false">Wheat_Yield_Data!D233</f>
        <v>393020</v>
      </c>
      <c r="E233" s="4" t="n">
        <f aca="false">Wheat_Yield_Data!E233</f>
        <v>2840</v>
      </c>
      <c r="F233" s="6" t="s">
        <v>104</v>
      </c>
      <c r="G233" s="2" t="s">
        <v>18</v>
      </c>
      <c r="H233" s="6" t="s">
        <v>99</v>
      </c>
      <c r="I233" s="2" t="s">
        <v>100</v>
      </c>
      <c r="J233" s="6" t="s">
        <v>347</v>
      </c>
    </row>
    <row r="234" customFormat="false" ht="35.05" hidden="false" customHeight="false" outlineLevel="0" collapsed="false">
      <c r="A234" s="2" t="str">
        <f aca="false">Wheat_Yield_Data!A234</f>
        <v>M.B. Din</v>
      </c>
      <c r="B234" s="2" t="str">
        <f aca="false">Wheat_Yield_Data!B234</f>
        <v>2013-14</v>
      </c>
      <c r="C234" s="3" t="n">
        <f aca="false">Wheat_Yield_Data!C234</f>
        <v>142440</v>
      </c>
      <c r="D234" s="3" t="n">
        <f aca="false">Wheat_Yield_Data!D234</f>
        <v>370300</v>
      </c>
      <c r="E234" s="4" t="n">
        <f aca="false">Wheat_Yield_Data!E234</f>
        <v>2599</v>
      </c>
      <c r="F234" s="6" t="s">
        <v>106</v>
      </c>
      <c r="G234" s="2" t="s">
        <v>18</v>
      </c>
      <c r="H234" s="6" t="s">
        <v>99</v>
      </c>
      <c r="I234" s="2" t="s">
        <v>100</v>
      </c>
      <c r="J234" s="6" t="s">
        <v>348</v>
      </c>
    </row>
    <row r="235" customFormat="false" ht="35.05" hidden="false" customHeight="false" outlineLevel="0" collapsed="false">
      <c r="A235" s="2" t="str">
        <f aca="false">Wheat_Yield_Data!A235</f>
        <v>M.B. Din</v>
      </c>
      <c r="B235" s="2" t="str">
        <f aca="false">Wheat_Yield_Data!B235</f>
        <v>2014-15</v>
      </c>
      <c r="C235" s="3" t="n">
        <f aca="false">Wheat_Yield_Data!C235</f>
        <v>144470</v>
      </c>
      <c r="D235" s="3" t="n">
        <f aca="false">Wheat_Yield_Data!D235</f>
        <v>352440</v>
      </c>
      <c r="E235" s="4" t="n">
        <f aca="false">Wheat_Yield_Data!E235</f>
        <v>2440</v>
      </c>
      <c r="F235" s="6" t="s">
        <v>108</v>
      </c>
      <c r="G235" s="2" t="s">
        <v>23</v>
      </c>
      <c r="H235" s="6" t="s">
        <v>99</v>
      </c>
      <c r="I235" s="2" t="s">
        <v>100</v>
      </c>
      <c r="J235" s="6" t="s">
        <v>349</v>
      </c>
    </row>
    <row r="236" customFormat="false" ht="35.05" hidden="false" customHeight="false" outlineLevel="0" collapsed="false">
      <c r="A236" s="2" t="str">
        <f aca="false">Wheat_Yield_Data!A236</f>
        <v>M.B. Din</v>
      </c>
      <c r="B236" s="2" t="str">
        <f aca="false">Wheat_Yield_Data!B236</f>
        <v>2015-16</v>
      </c>
      <c r="C236" s="3" t="n">
        <f aca="false">Wheat_Yield_Data!C236</f>
        <v>148520</v>
      </c>
      <c r="D236" s="3" t="n">
        <f aca="false">Wheat_Yield_Data!D236</f>
        <v>382300</v>
      </c>
      <c r="E236" s="4" t="n">
        <f aca="false">Wheat_Yield_Data!E236</f>
        <v>2573</v>
      </c>
      <c r="F236" s="6" t="s">
        <v>110</v>
      </c>
      <c r="G236" s="2" t="s">
        <v>23</v>
      </c>
      <c r="H236" s="6" t="s">
        <v>99</v>
      </c>
      <c r="I236" s="2" t="s">
        <v>100</v>
      </c>
      <c r="J236" s="6" t="s">
        <v>350</v>
      </c>
    </row>
    <row r="237" customFormat="false" ht="46.25" hidden="false" customHeight="false" outlineLevel="0" collapsed="false">
      <c r="A237" s="2" t="str">
        <f aca="false">Wheat_Yield_Data!A237</f>
        <v>M.B. Din</v>
      </c>
      <c r="B237" s="2" t="str">
        <f aca="false">Wheat_Yield_Data!B237</f>
        <v>2016-17</v>
      </c>
      <c r="C237" s="3" t="n">
        <f aca="false">Wheat_Yield_Data!C237</f>
        <v>151750</v>
      </c>
      <c r="D237" s="3" t="n">
        <f aca="false">Wheat_Yield_Data!D237</f>
        <v>474660</v>
      </c>
      <c r="E237" s="4" t="n">
        <f aca="false">Wheat_Yield_Data!E237</f>
        <v>3128</v>
      </c>
      <c r="F237" s="6" t="s">
        <v>113</v>
      </c>
      <c r="G237" s="2" t="s">
        <v>29</v>
      </c>
      <c r="H237" s="6" t="s">
        <v>114</v>
      </c>
      <c r="I237" s="2" t="s">
        <v>100</v>
      </c>
      <c r="J237" s="6" t="s">
        <v>351</v>
      </c>
    </row>
    <row r="238" customFormat="false" ht="46.25" hidden="false" customHeight="false" outlineLevel="0" collapsed="false">
      <c r="A238" s="2" t="str">
        <f aca="false">Wheat_Yield_Data!A238</f>
        <v>M.B. Din</v>
      </c>
      <c r="B238" s="2" t="str">
        <f aca="false">Wheat_Yield_Data!B238</f>
        <v>2017-18</v>
      </c>
      <c r="C238" s="3" t="n">
        <f aca="false">Wheat_Yield_Data!C238</f>
        <v>149730</v>
      </c>
      <c r="D238" s="3" t="n">
        <f aca="false">Wheat_Yield_Data!D238</f>
        <v>422470</v>
      </c>
      <c r="E238" s="4" t="n">
        <f aca="false">Wheat_Yield_Data!E238</f>
        <v>2821</v>
      </c>
      <c r="F238" s="6" t="s">
        <v>116</v>
      </c>
      <c r="G238" s="2" t="s">
        <v>29</v>
      </c>
      <c r="H238" s="6" t="s">
        <v>114</v>
      </c>
      <c r="I238" s="2" t="s">
        <v>100</v>
      </c>
      <c r="J238" s="6" t="s">
        <v>352</v>
      </c>
    </row>
    <row r="239" customFormat="false" ht="46.25" hidden="false" customHeight="false" outlineLevel="0" collapsed="false">
      <c r="A239" s="2" t="str">
        <f aca="false">Wheat_Yield_Data!A239</f>
        <v>M.B. Din</v>
      </c>
      <c r="B239" s="2" t="str">
        <f aca="false">Wheat_Yield_Data!B239</f>
        <v>2018-19</v>
      </c>
      <c r="C239" s="3" t="n">
        <f aca="false">Wheat_Yield_Data!C239</f>
        <v>149730</v>
      </c>
      <c r="D239" s="3" t="n">
        <f aca="false">Wheat_Yield_Data!D239</f>
        <v>389020</v>
      </c>
      <c r="E239" s="4" t="n">
        <f aca="false">Wheat_Yield_Data!E239</f>
        <v>2598</v>
      </c>
      <c r="F239" s="6" t="s">
        <v>118</v>
      </c>
      <c r="G239" s="2" t="s">
        <v>34</v>
      </c>
      <c r="H239" s="6" t="s">
        <v>114</v>
      </c>
      <c r="I239" s="2" t="s">
        <v>100</v>
      </c>
      <c r="J239" s="6" t="s">
        <v>353</v>
      </c>
    </row>
    <row r="240" customFormat="false" ht="35.05" hidden="false" customHeight="false" outlineLevel="0" collapsed="false">
      <c r="A240" s="2" t="str">
        <f aca="false">Wheat_Yield_Data!A240</f>
        <v>M.B.Din</v>
      </c>
      <c r="B240" s="2" t="str">
        <f aca="false">Wheat_Yield_Data!B240</f>
        <v>2020-21</v>
      </c>
      <c r="C240" s="3" t="n">
        <f aca="false">Wheat_Yield_Data!C240</f>
        <v>130310</v>
      </c>
      <c r="D240" s="3" t="n">
        <f aca="false">Wheat_Yield_Data!D240</f>
        <v>391420</v>
      </c>
      <c r="E240" s="4" t="n">
        <f aca="false">Wheat_Yield_Data!E240</f>
        <v>3004</v>
      </c>
      <c r="F240" s="6" t="s">
        <v>120</v>
      </c>
      <c r="G240" s="2" t="s">
        <v>37</v>
      </c>
      <c r="H240" s="6" t="s">
        <v>121</v>
      </c>
      <c r="I240" s="2" t="s">
        <v>100</v>
      </c>
      <c r="J240" s="6" t="s">
        <v>354</v>
      </c>
    </row>
    <row r="241" customFormat="false" ht="35.05" hidden="false" customHeight="false" outlineLevel="0" collapsed="false">
      <c r="A241" s="2" t="str">
        <f aca="false">Wheat_Yield_Data!A241</f>
        <v>M.B.Din</v>
      </c>
      <c r="B241" s="2" t="str">
        <f aca="false">Wheat_Yield_Data!B241</f>
        <v>2021-22</v>
      </c>
      <c r="C241" s="3" t="n">
        <f aca="false">Wheat_Yield_Data!C241</f>
        <v>127070</v>
      </c>
      <c r="D241" s="3" t="n">
        <f aca="false">Wheat_Yield_Data!D241</f>
        <v>355700</v>
      </c>
      <c r="E241" s="4" t="n">
        <f aca="false">Wheat_Yield_Data!E241</f>
        <v>2799</v>
      </c>
      <c r="F241" s="6" t="s">
        <v>123</v>
      </c>
      <c r="G241" s="2" t="s">
        <v>37</v>
      </c>
      <c r="H241" s="6" t="s">
        <v>121</v>
      </c>
      <c r="I241" s="2" t="s">
        <v>100</v>
      </c>
      <c r="J241" s="6" t="s">
        <v>355</v>
      </c>
    </row>
    <row r="242" customFormat="false" ht="23.85" hidden="false" customHeight="false" outlineLevel="0" collapsed="false">
      <c r="A242" s="2" t="str">
        <f aca="false">Wheat_Yield_Data!A242</f>
        <v>M.B.Din</v>
      </c>
      <c r="B242" s="2" t="str">
        <f aca="false">Wheat_Yield_Data!B242</f>
        <v>2022-23</v>
      </c>
      <c r="C242" s="3" t="n">
        <f aca="false">Wheat_Yield_Data!C242</f>
        <v>133500</v>
      </c>
      <c r="D242" s="3" t="n">
        <f aca="false">Wheat_Yield_Data!D242</f>
        <v>432400</v>
      </c>
      <c r="E242" s="4" t="n">
        <f aca="false">Wheat_Yield_Data!E242</f>
        <v>3238</v>
      </c>
      <c r="F242" s="6" t="s">
        <v>125</v>
      </c>
      <c r="G242" s="2" t="s">
        <v>43</v>
      </c>
      <c r="H242" s="6" t="s">
        <v>126</v>
      </c>
      <c r="I242" s="2" t="s">
        <v>100</v>
      </c>
      <c r="J242" s="6" t="s">
        <v>356</v>
      </c>
    </row>
    <row r="243" customFormat="false" ht="35.05" hidden="false" customHeight="false" outlineLevel="0" collapsed="false">
      <c r="A243" s="2" t="str">
        <f aca="false">Wheat_Yield_Data!A243</f>
        <v>Mianwali</v>
      </c>
      <c r="B243" s="2" t="str">
        <f aca="false">Wheat_Yield_Data!B243</f>
        <v>2010-11</v>
      </c>
      <c r="C243" s="3" t="n">
        <f aca="false">Wheat_Yield_Data!C243</f>
        <v>171990</v>
      </c>
      <c r="D243" s="3" t="n">
        <f aca="false">Wheat_Yield_Data!D243</f>
        <v>411980</v>
      </c>
      <c r="E243" s="4" t="n">
        <f aca="false">Wheat_Yield_Data!E243</f>
        <v>2395</v>
      </c>
      <c r="F243" s="6" t="s">
        <v>98</v>
      </c>
      <c r="G243" s="2" t="s">
        <v>11</v>
      </c>
      <c r="H243" s="6" t="s">
        <v>99</v>
      </c>
      <c r="I243" s="2" t="s">
        <v>100</v>
      </c>
      <c r="J243" s="6" t="s">
        <v>357</v>
      </c>
    </row>
    <row r="244" customFormat="false" ht="35.05" hidden="false" customHeight="false" outlineLevel="0" collapsed="false">
      <c r="A244" s="2" t="str">
        <f aca="false">Wheat_Yield_Data!A244</f>
        <v>Mianwali</v>
      </c>
      <c r="B244" s="2" t="str">
        <f aca="false">Wheat_Yield_Data!B244</f>
        <v>2011-12</v>
      </c>
      <c r="C244" s="3" t="n">
        <f aca="false">Wheat_Yield_Data!C244</f>
        <v>175230</v>
      </c>
      <c r="D244" s="3" t="n">
        <f aca="false">Wheat_Yield_Data!D244</f>
        <v>386240</v>
      </c>
      <c r="E244" s="4" t="n">
        <f aca="false">Wheat_Yield_Data!E244</f>
        <v>2204</v>
      </c>
      <c r="F244" s="6" t="s">
        <v>102</v>
      </c>
      <c r="G244" s="2" t="s">
        <v>11</v>
      </c>
      <c r="H244" s="6" t="s">
        <v>99</v>
      </c>
      <c r="I244" s="2" t="s">
        <v>100</v>
      </c>
      <c r="J244" s="6" t="s">
        <v>358</v>
      </c>
    </row>
    <row r="245" customFormat="false" ht="46.25" hidden="false" customHeight="false" outlineLevel="0" collapsed="false">
      <c r="A245" s="2" t="str">
        <f aca="false">Wheat_Yield_Data!A245</f>
        <v>Mianwali</v>
      </c>
      <c r="B245" s="2" t="str">
        <f aca="false">Wheat_Yield_Data!B245</f>
        <v>2012-13</v>
      </c>
      <c r="C245" s="3" t="n">
        <f aca="false">Wheat_Yield_Data!C245</f>
        <v>173210</v>
      </c>
      <c r="D245" s="3" t="n">
        <f aca="false">Wheat_Yield_Data!D245</f>
        <v>434100</v>
      </c>
      <c r="E245" s="4" t="n">
        <f aca="false">Wheat_Yield_Data!E245</f>
        <v>2506</v>
      </c>
      <c r="F245" s="6" t="s">
        <v>104</v>
      </c>
      <c r="G245" s="2" t="s">
        <v>18</v>
      </c>
      <c r="H245" s="6" t="s">
        <v>99</v>
      </c>
      <c r="I245" s="2" t="s">
        <v>100</v>
      </c>
      <c r="J245" s="6" t="s">
        <v>359</v>
      </c>
    </row>
    <row r="246" customFormat="false" ht="35.05" hidden="false" customHeight="false" outlineLevel="0" collapsed="false">
      <c r="A246" s="2" t="str">
        <f aca="false">Wheat_Yield_Data!A246</f>
        <v>Mianwali</v>
      </c>
      <c r="B246" s="2" t="str">
        <f aca="false">Wheat_Yield_Data!B246</f>
        <v>2013-14</v>
      </c>
      <c r="C246" s="3" t="n">
        <f aca="false">Wheat_Yield_Data!C246</f>
        <v>178060</v>
      </c>
      <c r="D246" s="3" t="n">
        <f aca="false">Wheat_Yield_Data!D246</f>
        <v>445820</v>
      </c>
      <c r="E246" s="4" t="n">
        <f aca="false">Wheat_Yield_Data!E246</f>
        <v>2504</v>
      </c>
      <c r="F246" s="6" t="s">
        <v>106</v>
      </c>
      <c r="G246" s="2" t="s">
        <v>18</v>
      </c>
      <c r="H246" s="6" t="s">
        <v>99</v>
      </c>
      <c r="I246" s="2" t="s">
        <v>100</v>
      </c>
      <c r="J246" s="6" t="s">
        <v>360</v>
      </c>
    </row>
    <row r="247" customFormat="false" ht="35.05" hidden="false" customHeight="false" outlineLevel="0" collapsed="false">
      <c r="A247" s="2" t="str">
        <f aca="false">Wheat_Yield_Data!A247</f>
        <v>Mianwali</v>
      </c>
      <c r="B247" s="2" t="str">
        <f aca="false">Wheat_Yield_Data!B247</f>
        <v>2014-15</v>
      </c>
      <c r="C247" s="3" t="n">
        <f aca="false">Wheat_Yield_Data!C247</f>
        <v>182110</v>
      </c>
      <c r="D247" s="3" t="n">
        <f aca="false">Wheat_Yield_Data!D247</f>
        <v>323490</v>
      </c>
      <c r="E247" s="4" t="n">
        <f aca="false">Wheat_Yield_Data!E247</f>
        <v>1776</v>
      </c>
      <c r="F247" s="6" t="s">
        <v>108</v>
      </c>
      <c r="G247" s="2" t="s">
        <v>23</v>
      </c>
      <c r="H247" s="6" t="s">
        <v>99</v>
      </c>
      <c r="I247" s="2" t="s">
        <v>100</v>
      </c>
      <c r="J247" s="6" t="s">
        <v>361</v>
      </c>
    </row>
    <row r="248" customFormat="false" ht="46.25" hidden="false" customHeight="false" outlineLevel="0" collapsed="false">
      <c r="A248" s="2" t="str">
        <f aca="false">Wheat_Yield_Data!A248</f>
        <v>Mianwali</v>
      </c>
      <c r="B248" s="2" t="str">
        <f aca="false">Wheat_Yield_Data!B248</f>
        <v>2015-16</v>
      </c>
      <c r="C248" s="3" t="n">
        <f aca="false">Wheat_Yield_Data!C248</f>
        <v>173610</v>
      </c>
      <c r="D248" s="3" t="n">
        <f aca="false">Wheat_Yield_Data!D248</f>
        <v>353630</v>
      </c>
      <c r="E248" s="5" t="n">
        <f aca="false">Wheat_Yield_Data!E248</f>
        <v>2036.92183629975</v>
      </c>
      <c r="F248" s="6" t="s">
        <v>110</v>
      </c>
      <c r="G248" s="2" t="s">
        <v>23</v>
      </c>
      <c r="H248" s="6" t="s">
        <v>99</v>
      </c>
      <c r="I248" s="2" t="s">
        <v>111</v>
      </c>
      <c r="J248" s="6" t="s">
        <v>362</v>
      </c>
    </row>
    <row r="249" customFormat="false" ht="46.25" hidden="false" customHeight="false" outlineLevel="0" collapsed="false">
      <c r="A249" s="2" t="str">
        <f aca="false">Wheat_Yield_Data!A249</f>
        <v>Mianwali</v>
      </c>
      <c r="B249" s="2" t="str">
        <f aca="false">Wheat_Yield_Data!B249</f>
        <v>2016-17</v>
      </c>
      <c r="C249" s="3" t="n">
        <f aca="false">Wheat_Yield_Data!C249</f>
        <v>156210</v>
      </c>
      <c r="D249" s="3" t="n">
        <f aca="false">Wheat_Yield_Data!D249</f>
        <v>456170</v>
      </c>
      <c r="E249" s="4" t="n">
        <f aca="false">Wheat_Yield_Data!E249</f>
        <v>2920</v>
      </c>
      <c r="F249" s="6" t="s">
        <v>113</v>
      </c>
      <c r="G249" s="2" t="s">
        <v>29</v>
      </c>
      <c r="H249" s="6" t="s">
        <v>114</v>
      </c>
      <c r="I249" s="2" t="s">
        <v>100</v>
      </c>
      <c r="J249" s="6" t="s">
        <v>363</v>
      </c>
    </row>
    <row r="250" customFormat="false" ht="46.25" hidden="false" customHeight="false" outlineLevel="0" collapsed="false">
      <c r="A250" s="2" t="str">
        <f aca="false">Wheat_Yield_Data!A250</f>
        <v>Mianwali</v>
      </c>
      <c r="B250" s="2" t="str">
        <f aca="false">Wheat_Yield_Data!B250</f>
        <v>2017-18</v>
      </c>
      <c r="C250" s="3" t="n">
        <f aca="false">Wheat_Yield_Data!C250</f>
        <v>156210</v>
      </c>
      <c r="D250" s="3" t="n">
        <f aca="false">Wheat_Yield_Data!D250</f>
        <v>361210</v>
      </c>
      <c r="E250" s="4" t="n">
        <f aca="false">Wheat_Yield_Data!E250</f>
        <v>2312</v>
      </c>
      <c r="F250" s="6" t="s">
        <v>116</v>
      </c>
      <c r="G250" s="2" t="s">
        <v>29</v>
      </c>
      <c r="H250" s="6" t="s">
        <v>114</v>
      </c>
      <c r="I250" s="2" t="s">
        <v>100</v>
      </c>
      <c r="J250" s="6" t="s">
        <v>364</v>
      </c>
    </row>
    <row r="251" customFormat="false" ht="46.25" hidden="false" customHeight="false" outlineLevel="0" collapsed="false">
      <c r="A251" s="2" t="str">
        <f aca="false">Wheat_Yield_Data!A251</f>
        <v>Mianwali</v>
      </c>
      <c r="B251" s="2" t="str">
        <f aca="false">Wheat_Yield_Data!B251</f>
        <v>2018-19</v>
      </c>
      <c r="C251" s="3" t="n">
        <f aca="false">Wheat_Yield_Data!C251</f>
        <v>152560</v>
      </c>
      <c r="D251" s="3" t="n">
        <f aca="false">Wheat_Yield_Data!D251</f>
        <v>337090</v>
      </c>
      <c r="E251" s="4" t="n">
        <f aca="false">Wheat_Yield_Data!E251</f>
        <v>2210</v>
      </c>
      <c r="F251" s="6" t="s">
        <v>118</v>
      </c>
      <c r="G251" s="2" t="s">
        <v>34</v>
      </c>
      <c r="H251" s="6" t="s">
        <v>114</v>
      </c>
      <c r="I251" s="2" t="s">
        <v>100</v>
      </c>
      <c r="J251" s="6" t="s">
        <v>365</v>
      </c>
    </row>
    <row r="252" customFormat="false" ht="35.05" hidden="false" customHeight="false" outlineLevel="0" collapsed="false">
      <c r="A252" s="2" t="str">
        <f aca="false">Wheat_Yield_Data!A252</f>
        <v>Mianwali</v>
      </c>
      <c r="B252" s="2" t="str">
        <f aca="false">Wheat_Yield_Data!B252</f>
        <v>2020-21</v>
      </c>
      <c r="C252" s="3" t="n">
        <f aca="false">Wheat_Yield_Data!C252</f>
        <v>211240</v>
      </c>
      <c r="D252" s="3" t="n">
        <f aca="false">Wheat_Yield_Data!D252</f>
        <v>581020</v>
      </c>
      <c r="E252" s="4" t="n">
        <f aca="false">Wheat_Yield_Data!E252</f>
        <v>2750</v>
      </c>
      <c r="F252" s="6" t="s">
        <v>120</v>
      </c>
      <c r="G252" s="2" t="s">
        <v>37</v>
      </c>
      <c r="H252" s="6" t="s">
        <v>121</v>
      </c>
      <c r="I252" s="2" t="s">
        <v>100</v>
      </c>
      <c r="J252" s="6" t="s">
        <v>366</v>
      </c>
    </row>
    <row r="253" customFormat="false" ht="35.05" hidden="false" customHeight="false" outlineLevel="0" collapsed="false">
      <c r="A253" s="2" t="str">
        <f aca="false">Wheat_Yield_Data!A253</f>
        <v>Mianwali</v>
      </c>
      <c r="B253" s="2" t="str">
        <f aca="false">Wheat_Yield_Data!B253</f>
        <v>2021-22</v>
      </c>
      <c r="C253" s="3" t="n">
        <f aca="false">Wheat_Yield_Data!C253</f>
        <v>200320</v>
      </c>
      <c r="D253" s="3" t="n">
        <f aca="false">Wheat_Yield_Data!D253</f>
        <v>539960</v>
      </c>
      <c r="E253" s="4" t="n">
        <f aca="false">Wheat_Yield_Data!E253</f>
        <v>2695</v>
      </c>
      <c r="F253" s="6" t="s">
        <v>123</v>
      </c>
      <c r="G253" s="2" t="s">
        <v>37</v>
      </c>
      <c r="H253" s="6" t="s">
        <v>121</v>
      </c>
      <c r="I253" s="2" t="s">
        <v>100</v>
      </c>
      <c r="J253" s="6" t="s">
        <v>367</v>
      </c>
    </row>
    <row r="254" customFormat="false" ht="23.85" hidden="false" customHeight="false" outlineLevel="0" collapsed="false">
      <c r="A254" s="2" t="str">
        <f aca="false">Wheat_Yield_Data!A254</f>
        <v>Mianwali</v>
      </c>
      <c r="B254" s="2" t="str">
        <f aca="false">Wheat_Yield_Data!B254</f>
        <v>2022-23</v>
      </c>
      <c r="C254" s="3" t="n">
        <f aca="false">Wheat_Yield_Data!C254</f>
        <v>190200</v>
      </c>
      <c r="D254" s="3" t="n">
        <f aca="false">Wheat_Yield_Data!D254</f>
        <v>588500</v>
      </c>
      <c r="E254" s="4" t="n">
        <f aca="false">Wheat_Yield_Data!E254</f>
        <v>3094</v>
      </c>
      <c r="F254" s="6" t="s">
        <v>125</v>
      </c>
      <c r="G254" s="2" t="s">
        <v>43</v>
      </c>
      <c r="H254" s="6" t="s">
        <v>126</v>
      </c>
      <c r="I254" s="2" t="s">
        <v>100</v>
      </c>
      <c r="J254" s="6" t="s">
        <v>368</v>
      </c>
    </row>
    <row r="255" customFormat="false" ht="35.05" hidden="false" customHeight="false" outlineLevel="0" collapsed="false">
      <c r="A255" s="2" t="str">
        <f aca="false">Wheat_Yield_Data!A255</f>
        <v>Multan</v>
      </c>
      <c r="B255" s="2" t="str">
        <f aca="false">Wheat_Yield_Data!B255</f>
        <v>2010-11</v>
      </c>
      <c r="C255" s="3" t="n">
        <f aca="false">Wheat_Yield_Data!C255</f>
        <v>185340</v>
      </c>
      <c r="D255" s="3" t="n">
        <f aca="false">Wheat_Yield_Data!D255</f>
        <v>520870</v>
      </c>
      <c r="E255" s="4" t="n">
        <f aca="false">Wheat_Yield_Data!E255</f>
        <v>2810</v>
      </c>
      <c r="F255" s="6" t="s">
        <v>98</v>
      </c>
      <c r="G255" s="2" t="s">
        <v>11</v>
      </c>
      <c r="H255" s="6" t="s">
        <v>99</v>
      </c>
      <c r="I255" s="2" t="s">
        <v>100</v>
      </c>
      <c r="J255" s="6" t="s">
        <v>369</v>
      </c>
    </row>
    <row r="256" customFormat="false" ht="35.05" hidden="false" customHeight="false" outlineLevel="0" collapsed="false">
      <c r="A256" s="2" t="str">
        <f aca="false">Wheat_Yield_Data!A256</f>
        <v>Multan</v>
      </c>
      <c r="B256" s="2" t="str">
        <f aca="false">Wheat_Yield_Data!B256</f>
        <v>2011-12</v>
      </c>
      <c r="C256" s="3" t="n">
        <f aca="false">Wheat_Yield_Data!C256</f>
        <v>167140</v>
      </c>
      <c r="D256" s="3" t="n">
        <f aca="false">Wheat_Yield_Data!D256</f>
        <v>434510</v>
      </c>
      <c r="E256" s="4" t="n">
        <f aca="false">Wheat_Yield_Data!E256</f>
        <v>2600</v>
      </c>
      <c r="F256" s="6" t="s">
        <v>102</v>
      </c>
      <c r="G256" s="2" t="s">
        <v>11</v>
      </c>
      <c r="H256" s="6" t="s">
        <v>99</v>
      </c>
      <c r="I256" s="2" t="s">
        <v>100</v>
      </c>
      <c r="J256" s="6" t="s">
        <v>370</v>
      </c>
    </row>
    <row r="257" customFormat="false" ht="46.25" hidden="false" customHeight="false" outlineLevel="0" collapsed="false">
      <c r="A257" s="2" t="str">
        <f aca="false">Wheat_Yield_Data!A257</f>
        <v>Multan</v>
      </c>
      <c r="B257" s="2" t="str">
        <f aca="false">Wheat_Yield_Data!B257</f>
        <v>2012-13</v>
      </c>
      <c r="C257" s="3" t="n">
        <f aca="false">Wheat_Yield_Data!C257</f>
        <v>173200</v>
      </c>
      <c r="D257" s="3" t="n">
        <f aca="false">Wheat_Yield_Data!D257</f>
        <v>503460</v>
      </c>
      <c r="E257" s="4" t="n">
        <f aca="false">Wheat_Yield_Data!E257</f>
        <v>2907</v>
      </c>
      <c r="F257" s="6" t="s">
        <v>104</v>
      </c>
      <c r="G257" s="2" t="s">
        <v>18</v>
      </c>
      <c r="H257" s="6" t="s">
        <v>99</v>
      </c>
      <c r="I257" s="2" t="s">
        <v>100</v>
      </c>
      <c r="J257" s="6" t="s">
        <v>371</v>
      </c>
    </row>
    <row r="258" customFormat="false" ht="35.05" hidden="false" customHeight="false" outlineLevel="0" collapsed="false">
      <c r="A258" s="2" t="str">
        <f aca="false">Wheat_Yield_Data!A258</f>
        <v>Multan</v>
      </c>
      <c r="B258" s="2" t="str">
        <f aca="false">Wheat_Yield_Data!B258</f>
        <v>2013-14</v>
      </c>
      <c r="C258" s="3" t="n">
        <f aca="false">Wheat_Yield_Data!C258</f>
        <v>184530</v>
      </c>
      <c r="D258" s="3" t="n">
        <f aca="false">Wheat_Yield_Data!D258</f>
        <v>544750</v>
      </c>
      <c r="E258" s="4" t="n">
        <f aca="false">Wheat_Yield_Data!E258</f>
        <v>2952</v>
      </c>
      <c r="F258" s="6" t="s">
        <v>106</v>
      </c>
      <c r="G258" s="2" t="s">
        <v>18</v>
      </c>
      <c r="H258" s="6" t="s">
        <v>99</v>
      </c>
      <c r="I258" s="2" t="s">
        <v>100</v>
      </c>
      <c r="J258" s="6" t="s">
        <v>372</v>
      </c>
    </row>
    <row r="259" customFormat="false" ht="35.05" hidden="false" customHeight="false" outlineLevel="0" collapsed="false">
      <c r="A259" s="2" t="str">
        <f aca="false">Wheat_Yield_Data!A259</f>
        <v>Multan</v>
      </c>
      <c r="B259" s="2" t="str">
        <f aca="false">Wheat_Yield_Data!B259</f>
        <v>2014-15</v>
      </c>
      <c r="C259" s="3" t="n">
        <f aca="false">Wheat_Yield_Data!C259</f>
        <v>191000</v>
      </c>
      <c r="D259" s="3" t="n">
        <f aca="false">Wheat_Yield_Data!D259</f>
        <v>577220</v>
      </c>
      <c r="E259" s="4" t="n">
        <f aca="false">Wheat_Yield_Data!E259</f>
        <v>3022</v>
      </c>
      <c r="F259" s="6" t="s">
        <v>108</v>
      </c>
      <c r="G259" s="2" t="s">
        <v>23</v>
      </c>
      <c r="H259" s="6" t="s">
        <v>99</v>
      </c>
      <c r="I259" s="2" t="s">
        <v>100</v>
      </c>
      <c r="J259" s="6" t="s">
        <v>373</v>
      </c>
    </row>
    <row r="260" customFormat="false" ht="46.25" hidden="false" customHeight="false" outlineLevel="0" collapsed="false">
      <c r="A260" s="2" t="str">
        <f aca="false">Wheat_Yield_Data!A260</f>
        <v>Multan</v>
      </c>
      <c r="B260" s="2" t="str">
        <f aca="false">Wheat_Yield_Data!B260</f>
        <v>2015-16</v>
      </c>
      <c r="C260" s="3" t="n">
        <f aca="false">Wheat_Yield_Data!C260</f>
        <v>186960</v>
      </c>
      <c r="D260" s="3" t="n">
        <f aca="false">Wheat_Yield_Data!D260</f>
        <v>566050</v>
      </c>
      <c r="E260" s="5" t="n">
        <f aca="false">Wheat_Yield_Data!E260</f>
        <v>3027.65297389816</v>
      </c>
      <c r="F260" s="6" t="s">
        <v>110</v>
      </c>
      <c r="G260" s="2" t="s">
        <v>23</v>
      </c>
      <c r="H260" s="6" t="s">
        <v>99</v>
      </c>
      <c r="I260" s="2" t="s">
        <v>111</v>
      </c>
      <c r="J260" s="6" t="s">
        <v>374</v>
      </c>
    </row>
    <row r="261" customFormat="false" ht="46.25" hidden="false" customHeight="false" outlineLevel="0" collapsed="false">
      <c r="A261" s="2" t="str">
        <f aca="false">Wheat_Yield_Data!A261</f>
        <v>Multan</v>
      </c>
      <c r="B261" s="2" t="str">
        <f aca="false">Wheat_Yield_Data!B261</f>
        <v>2016-17</v>
      </c>
      <c r="C261" s="3" t="n">
        <f aca="false">Wheat_Yield_Data!C261</f>
        <v>189790</v>
      </c>
      <c r="D261" s="3" t="n">
        <f aca="false">Wheat_Yield_Data!D261</f>
        <v>615540</v>
      </c>
      <c r="E261" s="4" t="n">
        <f aca="false">Wheat_Yield_Data!E261</f>
        <v>3243</v>
      </c>
      <c r="F261" s="6" t="s">
        <v>113</v>
      </c>
      <c r="G261" s="2" t="s">
        <v>29</v>
      </c>
      <c r="H261" s="6" t="s">
        <v>114</v>
      </c>
      <c r="I261" s="2" t="s">
        <v>100</v>
      </c>
      <c r="J261" s="6" t="s">
        <v>375</v>
      </c>
    </row>
    <row r="262" customFormat="false" ht="46.25" hidden="false" customHeight="false" outlineLevel="0" collapsed="false">
      <c r="A262" s="2" t="str">
        <f aca="false">Wheat_Yield_Data!A262</f>
        <v>Multan</v>
      </c>
      <c r="B262" s="2" t="str">
        <f aca="false">Wheat_Yield_Data!B262</f>
        <v>2017-18</v>
      </c>
      <c r="C262" s="3" t="n">
        <f aca="false">Wheat_Yield_Data!C262</f>
        <v>190610</v>
      </c>
      <c r="D262" s="3" t="n">
        <f aca="false">Wheat_Yield_Data!D262</f>
        <v>612310</v>
      </c>
      <c r="E262" s="4" t="n">
        <f aca="false">Wheat_Yield_Data!E262</f>
        <v>3212</v>
      </c>
      <c r="F262" s="6" t="s">
        <v>116</v>
      </c>
      <c r="G262" s="2" t="s">
        <v>29</v>
      </c>
      <c r="H262" s="6" t="s">
        <v>114</v>
      </c>
      <c r="I262" s="2" t="s">
        <v>100</v>
      </c>
      <c r="J262" s="6" t="s">
        <v>376</v>
      </c>
    </row>
    <row r="263" customFormat="false" ht="46.25" hidden="false" customHeight="false" outlineLevel="0" collapsed="false">
      <c r="A263" s="2" t="str">
        <f aca="false">Wheat_Yield_Data!A263</f>
        <v>Multan</v>
      </c>
      <c r="B263" s="2" t="str">
        <f aca="false">Wheat_Yield_Data!B263</f>
        <v>2018-19</v>
      </c>
      <c r="C263" s="3" t="n">
        <f aca="false">Wheat_Yield_Data!C263</f>
        <v>186560</v>
      </c>
      <c r="D263" s="3" t="n">
        <f aca="false">Wheat_Yield_Data!D263</f>
        <v>581930</v>
      </c>
      <c r="E263" s="4" t="n">
        <f aca="false">Wheat_Yield_Data!E263</f>
        <v>3119</v>
      </c>
      <c r="F263" s="6" t="s">
        <v>118</v>
      </c>
      <c r="G263" s="2" t="s">
        <v>34</v>
      </c>
      <c r="H263" s="6" t="s">
        <v>114</v>
      </c>
      <c r="I263" s="2" t="s">
        <v>100</v>
      </c>
      <c r="J263" s="6" t="s">
        <v>377</v>
      </c>
    </row>
    <row r="264" customFormat="false" ht="35.05" hidden="false" customHeight="false" outlineLevel="0" collapsed="false">
      <c r="A264" s="2" t="str">
        <f aca="false">Wheat_Yield_Data!A264</f>
        <v>Multan</v>
      </c>
      <c r="B264" s="2" t="str">
        <f aca="false">Wheat_Yield_Data!B264</f>
        <v>2020-21</v>
      </c>
      <c r="C264" s="3" t="n">
        <f aca="false">Wheat_Yield_Data!C264</f>
        <v>166730</v>
      </c>
      <c r="D264" s="3" t="n">
        <f aca="false">Wheat_Yield_Data!D264</f>
        <v>568560</v>
      </c>
      <c r="E264" s="4" t="n">
        <f aca="false">Wheat_Yield_Data!E264</f>
        <v>3410</v>
      </c>
      <c r="F264" s="6" t="s">
        <v>120</v>
      </c>
      <c r="G264" s="2" t="s">
        <v>37</v>
      </c>
      <c r="H264" s="6" t="s">
        <v>121</v>
      </c>
      <c r="I264" s="2" t="s">
        <v>100</v>
      </c>
      <c r="J264" s="6" t="s">
        <v>378</v>
      </c>
    </row>
    <row r="265" customFormat="false" ht="35.05" hidden="false" customHeight="false" outlineLevel="0" collapsed="false">
      <c r="A265" s="2" t="str">
        <f aca="false">Wheat_Yield_Data!A265</f>
        <v>Multan</v>
      </c>
      <c r="B265" s="2" t="str">
        <f aca="false">Wheat_Yield_Data!B265</f>
        <v>2021-22</v>
      </c>
      <c r="C265" s="3" t="n">
        <f aca="false">Wheat_Yield_Data!C265</f>
        <v>176840</v>
      </c>
      <c r="D265" s="3" t="n">
        <f aca="false">Wheat_Yield_Data!D265</f>
        <v>642040</v>
      </c>
      <c r="E265" s="4" t="n">
        <f aca="false">Wheat_Yield_Data!E265</f>
        <v>3631</v>
      </c>
      <c r="F265" s="6" t="s">
        <v>123</v>
      </c>
      <c r="G265" s="2" t="s">
        <v>37</v>
      </c>
      <c r="H265" s="6" t="s">
        <v>121</v>
      </c>
      <c r="I265" s="2" t="s">
        <v>100</v>
      </c>
      <c r="J265" s="6" t="s">
        <v>379</v>
      </c>
    </row>
    <row r="266" customFormat="false" ht="23.85" hidden="false" customHeight="false" outlineLevel="0" collapsed="false">
      <c r="A266" s="2" t="str">
        <f aca="false">Wheat_Yield_Data!A266</f>
        <v>Multan</v>
      </c>
      <c r="B266" s="2" t="str">
        <f aca="false">Wheat_Yield_Data!B266</f>
        <v>2022-23</v>
      </c>
      <c r="C266" s="3" t="n">
        <f aca="false">Wheat_Yield_Data!C266</f>
        <v>173200</v>
      </c>
      <c r="D266" s="3" t="n">
        <f aca="false">Wheat_Yield_Data!D266</f>
        <v>641500</v>
      </c>
      <c r="E266" s="4" t="n">
        <f aca="false">Wheat_Yield_Data!E266</f>
        <v>3704</v>
      </c>
      <c r="F266" s="6" t="s">
        <v>125</v>
      </c>
      <c r="G266" s="2" t="s">
        <v>43</v>
      </c>
      <c r="H266" s="6" t="s">
        <v>126</v>
      </c>
      <c r="I266" s="2" t="s">
        <v>100</v>
      </c>
      <c r="J266" s="6" t="s">
        <v>380</v>
      </c>
    </row>
    <row r="267" customFormat="false" ht="23.85" hidden="false" customHeight="false" outlineLevel="0" collapsed="false">
      <c r="A267" s="2" t="str">
        <f aca="false">Wheat_Yield_Data!A267</f>
        <v>Muree</v>
      </c>
      <c r="B267" s="2" t="str">
        <f aca="false">Wheat_Yield_Data!B267</f>
        <v>2022-23</v>
      </c>
      <c r="C267" s="3" t="n">
        <f aca="false">Wheat_Yield_Data!C267</f>
        <v>5700</v>
      </c>
      <c r="D267" s="3" t="n">
        <f aca="false">Wheat_Yield_Data!D267</f>
        <v>8500</v>
      </c>
      <c r="E267" s="4" t="n">
        <f aca="false">Wheat_Yield_Data!E267</f>
        <v>1494</v>
      </c>
      <c r="F267" s="6" t="s">
        <v>125</v>
      </c>
      <c r="G267" s="2" t="s">
        <v>43</v>
      </c>
      <c r="H267" s="6" t="s">
        <v>126</v>
      </c>
      <c r="I267" s="2" t="s">
        <v>100</v>
      </c>
      <c r="J267" s="6" t="s">
        <v>381</v>
      </c>
    </row>
    <row r="268" customFormat="false" ht="35.05" hidden="false" customHeight="false" outlineLevel="0" collapsed="false">
      <c r="A268" s="2" t="str">
        <f aca="false">Wheat_Yield_Data!A268</f>
        <v>Muzaffargarh</v>
      </c>
      <c r="B268" s="2" t="str">
        <f aca="false">Wheat_Yield_Data!B268</f>
        <v>2010-11</v>
      </c>
      <c r="C268" s="3" t="n">
        <f aca="false">Wheat_Yield_Data!C268</f>
        <v>308370</v>
      </c>
      <c r="D268" s="3" t="n">
        <f aca="false">Wheat_Yield_Data!D268</f>
        <v>891530</v>
      </c>
      <c r="E268" s="4" t="n">
        <f aca="false">Wheat_Yield_Data!E268</f>
        <v>2891</v>
      </c>
      <c r="F268" s="6" t="s">
        <v>98</v>
      </c>
      <c r="G268" s="2" t="s">
        <v>11</v>
      </c>
      <c r="H268" s="6" t="s">
        <v>99</v>
      </c>
      <c r="I268" s="2" t="s">
        <v>100</v>
      </c>
      <c r="J268" s="6" t="s">
        <v>382</v>
      </c>
    </row>
    <row r="269" customFormat="false" ht="35.05" hidden="false" customHeight="false" outlineLevel="0" collapsed="false">
      <c r="A269" s="2" t="str">
        <f aca="false">Wheat_Yield_Data!A269</f>
        <v>Muzaffargarh</v>
      </c>
      <c r="B269" s="2" t="str">
        <f aca="false">Wheat_Yield_Data!B269</f>
        <v>2011-12</v>
      </c>
      <c r="C269" s="3" t="n">
        <f aca="false">Wheat_Yield_Data!C269</f>
        <v>299050</v>
      </c>
      <c r="D269" s="3" t="n">
        <f aca="false">Wheat_Yield_Data!D269</f>
        <v>823180</v>
      </c>
      <c r="E269" s="4" t="n">
        <f aca="false">Wheat_Yield_Data!E269</f>
        <v>2752</v>
      </c>
      <c r="F269" s="6" t="s">
        <v>102</v>
      </c>
      <c r="G269" s="2" t="s">
        <v>11</v>
      </c>
      <c r="H269" s="6" t="s">
        <v>99</v>
      </c>
      <c r="I269" s="2" t="s">
        <v>100</v>
      </c>
      <c r="J269" s="6" t="s">
        <v>383</v>
      </c>
    </row>
    <row r="270" customFormat="false" ht="46.25" hidden="false" customHeight="false" outlineLevel="0" collapsed="false">
      <c r="A270" s="2" t="str">
        <f aca="false">Wheat_Yield_Data!A270</f>
        <v>Muzaffargarh</v>
      </c>
      <c r="B270" s="2" t="str">
        <f aca="false">Wheat_Yield_Data!B270</f>
        <v>2012-13</v>
      </c>
      <c r="C270" s="3" t="n">
        <f aca="false">Wheat_Yield_Data!C270</f>
        <v>291370</v>
      </c>
      <c r="D270" s="3" t="n">
        <f aca="false">Wheat_Yield_Data!D270</f>
        <v>816940</v>
      </c>
      <c r="E270" s="4" t="n">
        <f aca="false">Wheat_Yield_Data!E270</f>
        <v>2804</v>
      </c>
      <c r="F270" s="6" t="s">
        <v>104</v>
      </c>
      <c r="G270" s="2" t="s">
        <v>18</v>
      </c>
      <c r="H270" s="6" t="s">
        <v>99</v>
      </c>
      <c r="I270" s="2" t="s">
        <v>100</v>
      </c>
      <c r="J270" s="6" t="s">
        <v>384</v>
      </c>
    </row>
    <row r="271" customFormat="false" ht="35.05" hidden="false" customHeight="false" outlineLevel="0" collapsed="false">
      <c r="A271" s="2" t="str">
        <f aca="false">Wheat_Yield_Data!A271</f>
        <v>Muzaffargarh</v>
      </c>
      <c r="B271" s="2" t="str">
        <f aca="false">Wheat_Yield_Data!B271</f>
        <v>2013-14</v>
      </c>
      <c r="C271" s="3" t="n">
        <f aca="false">Wheat_Yield_Data!C271</f>
        <v>312410</v>
      </c>
      <c r="D271" s="3" t="n">
        <f aca="false">Wheat_Yield_Data!D271</f>
        <v>878710</v>
      </c>
      <c r="E271" s="4" t="n">
        <f aca="false">Wheat_Yield_Data!E271</f>
        <v>2813</v>
      </c>
      <c r="F271" s="6" t="s">
        <v>106</v>
      </c>
      <c r="G271" s="2" t="s">
        <v>18</v>
      </c>
      <c r="H271" s="6" t="s">
        <v>99</v>
      </c>
      <c r="I271" s="2" t="s">
        <v>100</v>
      </c>
      <c r="J271" s="6" t="s">
        <v>385</v>
      </c>
    </row>
    <row r="272" customFormat="false" ht="35.05" hidden="false" customHeight="false" outlineLevel="0" collapsed="false">
      <c r="A272" s="2" t="str">
        <f aca="false">Wheat_Yield_Data!A272</f>
        <v>Muzaffargarh</v>
      </c>
      <c r="B272" s="2" t="str">
        <f aca="false">Wheat_Yield_Data!B272</f>
        <v>2014-15</v>
      </c>
      <c r="C272" s="3" t="n">
        <f aca="false">Wheat_Yield_Data!C272</f>
        <v>313220</v>
      </c>
      <c r="D272" s="3" t="n">
        <f aca="false">Wheat_Yield_Data!D272</f>
        <v>874630</v>
      </c>
      <c r="E272" s="4" t="n">
        <f aca="false">Wheat_Yield_Data!E272</f>
        <v>2793</v>
      </c>
      <c r="F272" s="6" t="s">
        <v>108</v>
      </c>
      <c r="G272" s="2" t="s">
        <v>23</v>
      </c>
      <c r="H272" s="6" t="s">
        <v>99</v>
      </c>
      <c r="I272" s="2" t="s">
        <v>100</v>
      </c>
      <c r="J272" s="6" t="s">
        <v>386</v>
      </c>
    </row>
    <row r="273" customFormat="false" ht="46.25" hidden="false" customHeight="false" outlineLevel="0" collapsed="false">
      <c r="A273" s="2" t="str">
        <f aca="false">Wheat_Yield_Data!A273</f>
        <v>Muzaffargarh</v>
      </c>
      <c r="B273" s="2" t="str">
        <f aca="false">Wheat_Yield_Data!B273</f>
        <v>2015-16</v>
      </c>
      <c r="C273" s="3" t="n">
        <f aca="false">Wheat_Yield_Data!C273</f>
        <v>303910</v>
      </c>
      <c r="D273" s="3" t="n">
        <f aca="false">Wheat_Yield_Data!D273</f>
        <v>876210</v>
      </c>
      <c r="E273" s="5" t="n">
        <f aca="false">Wheat_Yield_Data!E273</f>
        <v>2883.12329308019</v>
      </c>
      <c r="F273" s="6" t="s">
        <v>110</v>
      </c>
      <c r="G273" s="2" t="s">
        <v>23</v>
      </c>
      <c r="H273" s="6" t="s">
        <v>99</v>
      </c>
      <c r="I273" s="2" t="s">
        <v>111</v>
      </c>
      <c r="J273" s="6" t="s">
        <v>387</v>
      </c>
    </row>
    <row r="274" customFormat="false" ht="46.25" hidden="false" customHeight="false" outlineLevel="0" collapsed="false">
      <c r="A274" s="2" t="str">
        <f aca="false">Wheat_Yield_Data!A274</f>
        <v>Muzaffargarh</v>
      </c>
      <c r="B274" s="2" t="str">
        <f aca="false">Wheat_Yield_Data!B274</f>
        <v>2016-17</v>
      </c>
      <c r="C274" s="3" t="n">
        <f aca="false">Wheat_Yield_Data!C274</f>
        <v>288540</v>
      </c>
      <c r="D274" s="3" t="n">
        <f aca="false">Wheat_Yield_Data!D274</f>
        <v>917650</v>
      </c>
      <c r="E274" s="4" t="n">
        <f aca="false">Wheat_Yield_Data!E274</f>
        <v>3180</v>
      </c>
      <c r="F274" s="6" t="s">
        <v>113</v>
      </c>
      <c r="G274" s="2" t="s">
        <v>29</v>
      </c>
      <c r="H274" s="6" t="s">
        <v>114</v>
      </c>
      <c r="I274" s="2" t="s">
        <v>100</v>
      </c>
      <c r="J274" s="6" t="s">
        <v>388</v>
      </c>
    </row>
    <row r="275" customFormat="false" ht="46.25" hidden="false" customHeight="false" outlineLevel="0" collapsed="false">
      <c r="A275" s="2" t="str">
        <f aca="false">Wheat_Yield_Data!A275</f>
        <v>Muzaffargarh</v>
      </c>
      <c r="B275" s="2" t="str">
        <f aca="false">Wheat_Yield_Data!B275</f>
        <v>2017-18</v>
      </c>
      <c r="C275" s="3" t="n">
        <f aca="false">Wheat_Yield_Data!C275</f>
        <v>287730</v>
      </c>
      <c r="D275" s="3" t="n">
        <f aca="false">Wheat_Yield_Data!D275</f>
        <v>905670</v>
      </c>
      <c r="E275" s="4" t="n">
        <f aca="false">Wheat_Yield_Data!E275</f>
        <v>3148</v>
      </c>
      <c r="F275" s="6" t="s">
        <v>116</v>
      </c>
      <c r="G275" s="2" t="s">
        <v>29</v>
      </c>
      <c r="H275" s="6" t="s">
        <v>114</v>
      </c>
      <c r="I275" s="2" t="s">
        <v>100</v>
      </c>
      <c r="J275" s="6" t="s">
        <v>389</v>
      </c>
    </row>
    <row r="276" customFormat="false" ht="46.25" hidden="false" customHeight="false" outlineLevel="0" collapsed="false">
      <c r="A276" s="2" t="str">
        <f aca="false">Wheat_Yield_Data!A276</f>
        <v>Muzaffargarh</v>
      </c>
      <c r="B276" s="2" t="str">
        <f aca="false">Wheat_Yield_Data!B276</f>
        <v>2018-19</v>
      </c>
      <c r="C276" s="3" t="n">
        <f aca="false">Wheat_Yield_Data!C276</f>
        <v>295820</v>
      </c>
      <c r="D276" s="3" t="n">
        <f aca="false">Wheat_Yield_Data!D276</f>
        <v>908910</v>
      </c>
      <c r="E276" s="4" t="n">
        <f aca="false">Wheat_Yield_Data!E276</f>
        <v>3072</v>
      </c>
      <c r="F276" s="6" t="s">
        <v>118</v>
      </c>
      <c r="G276" s="2" t="s">
        <v>34</v>
      </c>
      <c r="H276" s="6" t="s">
        <v>114</v>
      </c>
      <c r="I276" s="2" t="s">
        <v>100</v>
      </c>
      <c r="J276" s="6" t="s">
        <v>390</v>
      </c>
    </row>
    <row r="277" customFormat="false" ht="35.05" hidden="false" customHeight="false" outlineLevel="0" collapsed="false">
      <c r="A277" s="2" t="str">
        <f aca="false">Wheat_Yield_Data!A277</f>
        <v>Muzaffargarh</v>
      </c>
      <c r="B277" s="2" t="str">
        <f aca="false">Wheat_Yield_Data!B277</f>
        <v>2020-21</v>
      </c>
      <c r="C277" s="3" t="n">
        <f aca="false">Wheat_Yield_Data!C277</f>
        <v>257380</v>
      </c>
      <c r="D277" s="3" t="n">
        <f aca="false">Wheat_Yield_Data!D277</f>
        <v>811790</v>
      </c>
      <c r="E277" s="4" t="n">
        <f aca="false">Wheat_Yield_Data!E277</f>
        <v>3154</v>
      </c>
      <c r="F277" s="6" t="s">
        <v>120</v>
      </c>
      <c r="G277" s="2" t="s">
        <v>37</v>
      </c>
      <c r="H277" s="6" t="s">
        <v>121</v>
      </c>
      <c r="I277" s="2" t="s">
        <v>100</v>
      </c>
      <c r="J277" s="6" t="s">
        <v>391</v>
      </c>
    </row>
    <row r="278" customFormat="false" ht="35.05" hidden="false" customHeight="false" outlineLevel="0" collapsed="false">
      <c r="A278" s="2" t="str">
        <f aca="false">Wheat_Yield_Data!A278</f>
        <v>Muzaffargarh</v>
      </c>
      <c r="B278" s="2" t="str">
        <f aca="false">Wheat_Yield_Data!B278</f>
        <v>2021-22</v>
      </c>
      <c r="C278" s="3" t="n">
        <f aca="false">Wheat_Yield_Data!C278</f>
        <v>242400</v>
      </c>
      <c r="D278" s="3" t="n">
        <f aca="false">Wheat_Yield_Data!D278</f>
        <v>736050</v>
      </c>
      <c r="E278" s="4" t="n">
        <f aca="false">Wheat_Yield_Data!E278</f>
        <v>3036</v>
      </c>
      <c r="F278" s="6" t="s">
        <v>123</v>
      </c>
      <c r="G278" s="2" t="s">
        <v>37</v>
      </c>
      <c r="H278" s="6" t="s">
        <v>121</v>
      </c>
      <c r="I278" s="2" t="s">
        <v>100</v>
      </c>
      <c r="J278" s="6" t="s">
        <v>392</v>
      </c>
    </row>
    <row r="279" customFormat="false" ht="35.05" hidden="false" customHeight="false" outlineLevel="0" collapsed="false">
      <c r="A279" s="2" t="str">
        <f aca="false">Wheat_Yield_Data!A279</f>
        <v>Muzzafargargh</v>
      </c>
      <c r="B279" s="2" t="str">
        <f aca="false">Wheat_Yield_Data!B279</f>
        <v>2022-23</v>
      </c>
      <c r="C279" s="3" t="n">
        <f aca="false">Wheat_Yield_Data!C279</f>
        <v>141200</v>
      </c>
      <c r="D279" s="3" t="n">
        <f aca="false">Wheat_Yield_Data!D279</f>
        <v>461000</v>
      </c>
      <c r="E279" s="4" t="n">
        <f aca="false">Wheat_Yield_Data!E279</f>
        <v>3264</v>
      </c>
      <c r="F279" s="6" t="s">
        <v>125</v>
      </c>
      <c r="G279" s="2" t="s">
        <v>43</v>
      </c>
      <c r="H279" s="6" t="s">
        <v>126</v>
      </c>
      <c r="I279" s="2" t="s">
        <v>100</v>
      </c>
      <c r="J279" s="6" t="s">
        <v>393</v>
      </c>
    </row>
    <row r="280" customFormat="false" ht="35.05" hidden="false" customHeight="false" outlineLevel="0" collapsed="false">
      <c r="A280" s="2" t="str">
        <f aca="false">Wheat_Yield_Data!A280</f>
        <v>Nankana Sahib</v>
      </c>
      <c r="B280" s="2" t="str">
        <f aca="false">Wheat_Yield_Data!B280</f>
        <v>2010-11</v>
      </c>
      <c r="C280" s="3" t="n">
        <f aca="false">Wheat_Yield_Data!C280</f>
        <v>113710</v>
      </c>
      <c r="D280" s="3" t="n">
        <f aca="false">Wheat_Yield_Data!D280</f>
        <v>340870</v>
      </c>
      <c r="E280" s="4" t="n">
        <f aca="false">Wheat_Yield_Data!E280</f>
        <v>2998</v>
      </c>
      <c r="F280" s="6" t="s">
        <v>98</v>
      </c>
      <c r="G280" s="2" t="s">
        <v>11</v>
      </c>
      <c r="H280" s="6" t="s">
        <v>99</v>
      </c>
      <c r="I280" s="2" t="s">
        <v>100</v>
      </c>
      <c r="J280" s="6" t="s">
        <v>394</v>
      </c>
    </row>
    <row r="281" customFormat="false" ht="35.05" hidden="false" customHeight="false" outlineLevel="0" collapsed="false">
      <c r="A281" s="2" t="str">
        <f aca="false">Wheat_Yield_Data!A281</f>
        <v>Nankana Sahib</v>
      </c>
      <c r="B281" s="2" t="str">
        <f aca="false">Wheat_Yield_Data!B281</f>
        <v>2011-12</v>
      </c>
      <c r="C281" s="3" t="n">
        <f aca="false">Wheat_Yield_Data!C281</f>
        <v>112500</v>
      </c>
      <c r="D281" s="3" t="n">
        <f aca="false">Wheat_Yield_Data!D281</f>
        <v>351550</v>
      </c>
      <c r="E281" s="4" t="n">
        <f aca="false">Wheat_Yield_Data!E281</f>
        <v>3125</v>
      </c>
      <c r="F281" s="6" t="s">
        <v>102</v>
      </c>
      <c r="G281" s="2" t="s">
        <v>11</v>
      </c>
      <c r="H281" s="6" t="s">
        <v>99</v>
      </c>
      <c r="I281" s="2" t="s">
        <v>100</v>
      </c>
      <c r="J281" s="6" t="s">
        <v>395</v>
      </c>
    </row>
    <row r="282" customFormat="false" ht="46.25" hidden="false" customHeight="false" outlineLevel="0" collapsed="false">
      <c r="A282" s="2" t="str">
        <f aca="false">Wheat_Yield_Data!A282</f>
        <v>Nankana Sahib</v>
      </c>
      <c r="B282" s="2" t="str">
        <f aca="false">Wheat_Yield_Data!B282</f>
        <v>2012-13</v>
      </c>
      <c r="C282" s="3" t="n">
        <f aca="false">Wheat_Yield_Data!C282</f>
        <v>118570</v>
      </c>
      <c r="D282" s="3" t="n">
        <f aca="false">Wheat_Yield_Data!D282</f>
        <v>367670</v>
      </c>
      <c r="E282" s="4" t="n">
        <f aca="false">Wheat_Yield_Data!E282</f>
        <v>3101</v>
      </c>
      <c r="F282" s="6" t="s">
        <v>104</v>
      </c>
      <c r="G282" s="2" t="s">
        <v>18</v>
      </c>
      <c r="H282" s="6" t="s">
        <v>99</v>
      </c>
      <c r="I282" s="2" t="s">
        <v>100</v>
      </c>
      <c r="J282" s="6" t="s">
        <v>396</v>
      </c>
    </row>
    <row r="283" customFormat="false" ht="35.05" hidden="false" customHeight="false" outlineLevel="0" collapsed="false">
      <c r="A283" s="2" t="str">
        <f aca="false">Wheat_Yield_Data!A283</f>
        <v>Nankana Sahib</v>
      </c>
      <c r="B283" s="2" t="str">
        <f aca="false">Wheat_Yield_Data!B283</f>
        <v>2013-14</v>
      </c>
      <c r="C283" s="3" t="n">
        <f aca="false">Wheat_Yield_Data!C283</f>
        <v>124640</v>
      </c>
      <c r="D283" s="3" t="n">
        <f aca="false">Wheat_Yield_Data!D283</f>
        <v>387300</v>
      </c>
      <c r="E283" s="4" t="n">
        <f aca="false">Wheat_Yield_Data!E283</f>
        <v>3107</v>
      </c>
      <c r="F283" s="6" t="s">
        <v>106</v>
      </c>
      <c r="G283" s="2" t="s">
        <v>18</v>
      </c>
      <c r="H283" s="6" t="s">
        <v>99</v>
      </c>
      <c r="I283" s="2" t="s">
        <v>100</v>
      </c>
      <c r="J283" s="6" t="s">
        <v>397</v>
      </c>
    </row>
    <row r="284" customFormat="false" ht="35.05" hidden="false" customHeight="false" outlineLevel="0" collapsed="false">
      <c r="A284" s="2" t="str">
        <f aca="false">Wheat_Yield_Data!A284</f>
        <v>Nankana Sahib</v>
      </c>
      <c r="B284" s="2" t="str">
        <f aca="false">Wheat_Yield_Data!B284</f>
        <v>2014-15</v>
      </c>
      <c r="C284" s="3" t="n">
        <f aca="false">Wheat_Yield_Data!C284</f>
        <v>126260</v>
      </c>
      <c r="D284" s="3" t="n">
        <f aca="false">Wheat_Yield_Data!D284</f>
        <v>420280</v>
      </c>
      <c r="E284" s="4" t="n">
        <f aca="false">Wheat_Yield_Data!E284</f>
        <v>3329</v>
      </c>
      <c r="F284" s="6" t="s">
        <v>108</v>
      </c>
      <c r="G284" s="2" t="s">
        <v>23</v>
      </c>
      <c r="H284" s="6" t="s">
        <v>99</v>
      </c>
      <c r="I284" s="2" t="s">
        <v>100</v>
      </c>
      <c r="J284" s="6" t="s">
        <v>398</v>
      </c>
    </row>
    <row r="285" customFormat="false" ht="35.05" hidden="false" customHeight="false" outlineLevel="0" collapsed="false">
      <c r="A285" s="2" t="str">
        <f aca="false">Wheat_Yield_Data!A285</f>
        <v>Nankana Sahib</v>
      </c>
      <c r="B285" s="2" t="str">
        <f aca="false">Wheat_Yield_Data!B285</f>
        <v>2015-16</v>
      </c>
      <c r="C285" s="3" t="n">
        <f aca="false">Wheat_Yield_Data!C285</f>
        <v>124240</v>
      </c>
      <c r="D285" s="3" t="n">
        <f aca="false">Wheat_Yield_Data!D285</f>
        <v>400940</v>
      </c>
      <c r="E285" s="4" t="n">
        <f aca="false">Wheat_Yield_Data!E285</f>
        <v>3227</v>
      </c>
      <c r="F285" s="6" t="s">
        <v>110</v>
      </c>
      <c r="G285" s="2" t="s">
        <v>23</v>
      </c>
      <c r="H285" s="6" t="s">
        <v>99</v>
      </c>
      <c r="I285" s="2" t="s">
        <v>100</v>
      </c>
      <c r="J285" s="6" t="s">
        <v>399</v>
      </c>
    </row>
    <row r="286" customFormat="false" ht="46.25" hidden="false" customHeight="false" outlineLevel="0" collapsed="false">
      <c r="A286" s="2" t="str">
        <f aca="false">Wheat_Yield_Data!A286</f>
        <v>Nankana Sahib</v>
      </c>
      <c r="B286" s="2" t="str">
        <f aca="false">Wheat_Yield_Data!B286</f>
        <v>2016-17</v>
      </c>
      <c r="C286" s="3" t="n">
        <f aca="false">Wheat_Yield_Data!C286</f>
        <v>121810</v>
      </c>
      <c r="D286" s="3" t="n">
        <f aca="false">Wheat_Yield_Data!D286</f>
        <v>422420</v>
      </c>
      <c r="E286" s="4" t="n">
        <f aca="false">Wheat_Yield_Data!E286</f>
        <v>3468</v>
      </c>
      <c r="F286" s="6" t="s">
        <v>113</v>
      </c>
      <c r="G286" s="2" t="s">
        <v>29</v>
      </c>
      <c r="H286" s="6" t="s">
        <v>114</v>
      </c>
      <c r="I286" s="2" t="s">
        <v>100</v>
      </c>
      <c r="J286" s="6" t="s">
        <v>400</v>
      </c>
    </row>
    <row r="287" customFormat="false" ht="46.25" hidden="false" customHeight="false" outlineLevel="0" collapsed="false">
      <c r="A287" s="2" t="str">
        <f aca="false">Wheat_Yield_Data!A287</f>
        <v>Nankana Sahib</v>
      </c>
      <c r="B287" s="2" t="str">
        <f aca="false">Wheat_Yield_Data!B287</f>
        <v>2017-18</v>
      </c>
      <c r="C287" s="3" t="n">
        <f aca="false">Wheat_Yield_Data!C287</f>
        <v>120590</v>
      </c>
      <c r="D287" s="3" t="n">
        <f aca="false">Wheat_Yield_Data!D287</f>
        <v>391520</v>
      </c>
      <c r="E287" s="4" t="n">
        <f aca="false">Wheat_Yield_Data!E287</f>
        <v>3247</v>
      </c>
      <c r="F287" s="6" t="s">
        <v>116</v>
      </c>
      <c r="G287" s="2" t="s">
        <v>29</v>
      </c>
      <c r="H287" s="6" t="s">
        <v>114</v>
      </c>
      <c r="I287" s="2" t="s">
        <v>100</v>
      </c>
      <c r="J287" s="6" t="s">
        <v>401</v>
      </c>
    </row>
    <row r="288" customFormat="false" ht="46.25" hidden="false" customHeight="false" outlineLevel="0" collapsed="false">
      <c r="A288" s="2" t="str">
        <f aca="false">Wheat_Yield_Data!A288</f>
        <v>Nankana Sahib</v>
      </c>
      <c r="B288" s="2" t="str">
        <f aca="false">Wheat_Yield_Data!B288</f>
        <v>2018-19</v>
      </c>
      <c r="C288" s="3" t="n">
        <f aca="false">Wheat_Yield_Data!C288</f>
        <v>119380</v>
      </c>
      <c r="D288" s="3" t="n">
        <f aca="false">Wheat_Yield_Data!D288</f>
        <v>380530</v>
      </c>
      <c r="E288" s="4" t="n">
        <f aca="false">Wheat_Yield_Data!E288</f>
        <v>3188</v>
      </c>
      <c r="F288" s="6" t="s">
        <v>118</v>
      </c>
      <c r="G288" s="2" t="s">
        <v>34</v>
      </c>
      <c r="H288" s="6" t="s">
        <v>114</v>
      </c>
      <c r="I288" s="2" t="s">
        <v>100</v>
      </c>
      <c r="J288" s="6" t="s">
        <v>402</v>
      </c>
    </row>
    <row r="289" customFormat="false" ht="35.05" hidden="false" customHeight="false" outlineLevel="0" collapsed="false">
      <c r="A289" s="2" t="str">
        <f aca="false">Wheat_Yield_Data!A289</f>
        <v>Nankana Sahib</v>
      </c>
      <c r="B289" s="2" t="str">
        <f aca="false">Wheat_Yield_Data!B289</f>
        <v>2020-21</v>
      </c>
      <c r="C289" s="3" t="n">
        <f aca="false">Wheat_Yield_Data!C289</f>
        <v>130310</v>
      </c>
      <c r="D289" s="3" t="n">
        <f aca="false">Wheat_Yield_Data!D289</f>
        <v>486350</v>
      </c>
      <c r="E289" s="4" t="n">
        <f aca="false">Wheat_Yield_Data!E289</f>
        <v>3732</v>
      </c>
      <c r="F289" s="6" t="s">
        <v>120</v>
      </c>
      <c r="G289" s="2" t="s">
        <v>37</v>
      </c>
      <c r="H289" s="6" t="s">
        <v>121</v>
      </c>
      <c r="I289" s="2" t="s">
        <v>100</v>
      </c>
      <c r="J289" s="6" t="s">
        <v>403</v>
      </c>
    </row>
    <row r="290" customFormat="false" ht="35.05" hidden="false" customHeight="false" outlineLevel="0" collapsed="false">
      <c r="A290" s="2" t="str">
        <f aca="false">Wheat_Yield_Data!A290</f>
        <v>Nankana Sahib</v>
      </c>
      <c r="B290" s="2" t="str">
        <f aca="false">Wheat_Yield_Data!B290</f>
        <v>2021-22</v>
      </c>
      <c r="C290" s="3" t="n">
        <f aca="false">Wheat_Yield_Data!C290</f>
        <v>125450</v>
      </c>
      <c r="D290" s="3" t="n">
        <f aca="false">Wheat_Yield_Data!D290</f>
        <v>427180</v>
      </c>
      <c r="E290" s="4" t="n">
        <f aca="false">Wheat_Yield_Data!E290</f>
        <v>3405</v>
      </c>
      <c r="F290" s="6" t="s">
        <v>123</v>
      </c>
      <c r="G290" s="2" t="s">
        <v>37</v>
      </c>
      <c r="H290" s="6" t="s">
        <v>121</v>
      </c>
      <c r="I290" s="2" t="s">
        <v>100</v>
      </c>
      <c r="J290" s="6" t="s">
        <v>404</v>
      </c>
    </row>
    <row r="291" customFormat="false" ht="23.85" hidden="false" customHeight="false" outlineLevel="0" collapsed="false">
      <c r="A291" s="2" t="str">
        <f aca="false">Wheat_Yield_Data!A291</f>
        <v>Nankana Sahib</v>
      </c>
      <c r="B291" s="2" t="str">
        <f aca="false">Wheat_Yield_Data!B291</f>
        <v>2022-23</v>
      </c>
      <c r="C291" s="3" t="n">
        <f aca="false">Wheat_Yield_Data!C291</f>
        <v>128700</v>
      </c>
      <c r="D291" s="3" t="n">
        <f aca="false">Wheat_Yield_Data!D291</f>
        <v>456000</v>
      </c>
      <c r="E291" s="4" t="n">
        <f aca="false">Wheat_Yield_Data!E291</f>
        <v>3544</v>
      </c>
      <c r="F291" s="6" t="s">
        <v>125</v>
      </c>
      <c r="G291" s="2" t="s">
        <v>43</v>
      </c>
      <c r="H291" s="6" t="s">
        <v>126</v>
      </c>
      <c r="I291" s="2" t="s">
        <v>100</v>
      </c>
      <c r="J291" s="6" t="s">
        <v>405</v>
      </c>
    </row>
    <row r="292" customFormat="false" ht="35.05" hidden="false" customHeight="false" outlineLevel="0" collapsed="false">
      <c r="A292" s="2" t="str">
        <f aca="false">Wheat_Yield_Data!A292</f>
        <v>Narowal</v>
      </c>
      <c r="B292" s="2" t="str">
        <f aca="false">Wheat_Yield_Data!B292</f>
        <v>2010-11</v>
      </c>
      <c r="C292" s="3" t="n">
        <f aca="false">Wheat_Yield_Data!C292</f>
        <v>162680</v>
      </c>
      <c r="D292" s="3" t="n">
        <f aca="false">Wheat_Yield_Data!D292</f>
        <v>381760</v>
      </c>
      <c r="E292" s="4" t="n">
        <f aca="false">Wheat_Yield_Data!E292</f>
        <v>2346</v>
      </c>
      <c r="F292" s="6" t="s">
        <v>98</v>
      </c>
      <c r="G292" s="2" t="s">
        <v>11</v>
      </c>
      <c r="H292" s="6" t="s">
        <v>99</v>
      </c>
      <c r="I292" s="2" t="s">
        <v>100</v>
      </c>
      <c r="J292" s="6" t="s">
        <v>406</v>
      </c>
    </row>
    <row r="293" customFormat="false" ht="35.05" hidden="false" customHeight="false" outlineLevel="0" collapsed="false">
      <c r="A293" s="2" t="str">
        <f aca="false">Wheat_Yield_Data!A293</f>
        <v>Narowal</v>
      </c>
      <c r="B293" s="2" t="str">
        <f aca="false">Wheat_Yield_Data!B293</f>
        <v>2011-12</v>
      </c>
      <c r="C293" s="3" t="n">
        <f aca="false">Wheat_Yield_Data!C293</f>
        <v>168750</v>
      </c>
      <c r="D293" s="3" t="n">
        <f aca="false">Wheat_Yield_Data!D293</f>
        <v>372870</v>
      </c>
      <c r="E293" s="4" t="n">
        <f aca="false">Wheat_Yield_Data!E293</f>
        <v>2210</v>
      </c>
      <c r="F293" s="6" t="s">
        <v>102</v>
      </c>
      <c r="G293" s="2" t="s">
        <v>11</v>
      </c>
      <c r="H293" s="6" t="s">
        <v>99</v>
      </c>
      <c r="I293" s="2" t="s">
        <v>100</v>
      </c>
      <c r="J293" s="6" t="s">
        <v>365</v>
      </c>
    </row>
    <row r="294" customFormat="false" ht="46.25" hidden="false" customHeight="false" outlineLevel="0" collapsed="false">
      <c r="A294" s="2" t="str">
        <f aca="false">Wheat_Yield_Data!A294</f>
        <v>Narowal</v>
      </c>
      <c r="B294" s="2" t="str">
        <f aca="false">Wheat_Yield_Data!B294</f>
        <v>2012-13</v>
      </c>
      <c r="C294" s="3" t="n">
        <f aca="false">Wheat_Yield_Data!C294</f>
        <v>163090</v>
      </c>
      <c r="D294" s="3" t="n">
        <f aca="false">Wheat_Yield_Data!D294</f>
        <v>396840</v>
      </c>
      <c r="E294" s="4" t="n">
        <f aca="false">Wheat_Yield_Data!E294</f>
        <v>2433</v>
      </c>
      <c r="F294" s="6" t="s">
        <v>104</v>
      </c>
      <c r="G294" s="2" t="s">
        <v>18</v>
      </c>
      <c r="H294" s="6" t="s">
        <v>99</v>
      </c>
      <c r="I294" s="2" t="s">
        <v>100</v>
      </c>
      <c r="J294" s="6" t="s">
        <v>407</v>
      </c>
    </row>
    <row r="295" customFormat="false" ht="35.05" hidden="false" customHeight="false" outlineLevel="0" collapsed="false">
      <c r="A295" s="2" t="str">
        <f aca="false">Wheat_Yield_Data!A295</f>
        <v>Narowal</v>
      </c>
      <c r="B295" s="2" t="str">
        <f aca="false">Wheat_Yield_Data!B295</f>
        <v>2013-14</v>
      </c>
      <c r="C295" s="3" t="n">
        <f aca="false">Wheat_Yield_Data!C295</f>
        <v>163890</v>
      </c>
      <c r="D295" s="3" t="n">
        <f aca="false">Wheat_Yield_Data!D295</f>
        <v>405340</v>
      </c>
      <c r="E295" s="4" t="n">
        <f aca="false">Wheat_Yield_Data!E295</f>
        <v>2473</v>
      </c>
      <c r="F295" s="6" t="s">
        <v>106</v>
      </c>
      <c r="G295" s="2" t="s">
        <v>18</v>
      </c>
      <c r="H295" s="6" t="s">
        <v>99</v>
      </c>
      <c r="I295" s="2" t="s">
        <v>100</v>
      </c>
      <c r="J295" s="6" t="s">
        <v>408</v>
      </c>
    </row>
    <row r="296" customFormat="false" ht="35.05" hidden="false" customHeight="false" outlineLevel="0" collapsed="false">
      <c r="A296" s="2" t="str">
        <f aca="false">Wheat_Yield_Data!A296</f>
        <v>Narowal</v>
      </c>
      <c r="B296" s="2" t="str">
        <f aca="false">Wheat_Yield_Data!B296</f>
        <v>2014-15</v>
      </c>
      <c r="C296" s="3" t="n">
        <f aca="false">Wheat_Yield_Data!C296</f>
        <v>163490</v>
      </c>
      <c r="D296" s="3" t="n">
        <f aca="false">Wheat_Yield_Data!D296</f>
        <v>287920</v>
      </c>
      <c r="E296" s="4" t="n">
        <f aca="false">Wheat_Yield_Data!E296</f>
        <v>1761</v>
      </c>
      <c r="F296" s="6" t="s">
        <v>108</v>
      </c>
      <c r="G296" s="2" t="s">
        <v>23</v>
      </c>
      <c r="H296" s="6" t="s">
        <v>99</v>
      </c>
      <c r="I296" s="2" t="s">
        <v>100</v>
      </c>
      <c r="J296" s="6" t="s">
        <v>409</v>
      </c>
    </row>
    <row r="297" customFormat="false" ht="46.25" hidden="false" customHeight="false" outlineLevel="0" collapsed="false">
      <c r="A297" s="2" t="str">
        <f aca="false">Wheat_Yield_Data!A297</f>
        <v>Narowal</v>
      </c>
      <c r="B297" s="2" t="str">
        <f aca="false">Wheat_Yield_Data!B297</f>
        <v>2015-16</v>
      </c>
      <c r="C297" s="3" t="n">
        <f aca="false">Wheat_Yield_Data!C297</f>
        <v>147300</v>
      </c>
      <c r="D297" s="3" t="n">
        <f aca="false">Wheat_Yield_Data!D297</f>
        <v>306980</v>
      </c>
      <c r="E297" s="5" t="n">
        <f aca="false">Wheat_Yield_Data!E297</f>
        <v>2084.04616429056</v>
      </c>
      <c r="F297" s="6" t="s">
        <v>110</v>
      </c>
      <c r="G297" s="2" t="s">
        <v>23</v>
      </c>
      <c r="H297" s="6" t="s">
        <v>99</v>
      </c>
      <c r="I297" s="2" t="s">
        <v>111</v>
      </c>
      <c r="J297" s="6" t="s">
        <v>410</v>
      </c>
    </row>
    <row r="298" customFormat="false" ht="46.25" hidden="false" customHeight="false" outlineLevel="0" collapsed="false">
      <c r="A298" s="2" t="str">
        <f aca="false">Wheat_Yield_Data!A298</f>
        <v>Narowal</v>
      </c>
      <c r="B298" s="2" t="str">
        <f aca="false">Wheat_Yield_Data!B298</f>
        <v>2016-17</v>
      </c>
      <c r="C298" s="3" t="n">
        <f aca="false">Wheat_Yield_Data!C298</f>
        <v>145690</v>
      </c>
      <c r="D298" s="3" t="n">
        <f aca="false">Wheat_Yield_Data!D298</f>
        <v>356560</v>
      </c>
      <c r="E298" s="4" t="n">
        <f aca="false">Wheat_Yield_Data!E298</f>
        <v>2448</v>
      </c>
      <c r="F298" s="6" t="s">
        <v>113</v>
      </c>
      <c r="G298" s="2" t="s">
        <v>29</v>
      </c>
      <c r="H298" s="6" t="s">
        <v>114</v>
      </c>
      <c r="I298" s="2" t="s">
        <v>100</v>
      </c>
      <c r="J298" s="6" t="s">
        <v>411</v>
      </c>
    </row>
    <row r="299" customFormat="false" ht="46.25" hidden="false" customHeight="false" outlineLevel="0" collapsed="false">
      <c r="A299" s="2" t="str">
        <f aca="false">Wheat_Yield_Data!A299</f>
        <v>Narowal</v>
      </c>
      <c r="B299" s="2" t="str">
        <f aca="false">Wheat_Yield_Data!B299</f>
        <v>2017-18</v>
      </c>
      <c r="C299" s="3" t="n">
        <f aca="false">Wheat_Yield_Data!C299</f>
        <v>146490</v>
      </c>
      <c r="D299" s="3" t="n">
        <f aca="false">Wheat_Yield_Data!D299</f>
        <v>383320</v>
      </c>
      <c r="E299" s="4" t="n">
        <f aca="false">Wheat_Yield_Data!E299</f>
        <v>2617</v>
      </c>
      <c r="F299" s="6" t="s">
        <v>116</v>
      </c>
      <c r="G299" s="2" t="s">
        <v>29</v>
      </c>
      <c r="H299" s="6" t="s">
        <v>114</v>
      </c>
      <c r="I299" s="2" t="s">
        <v>100</v>
      </c>
      <c r="J299" s="6" t="s">
        <v>412</v>
      </c>
    </row>
    <row r="300" customFormat="false" ht="46.25" hidden="false" customHeight="false" outlineLevel="0" collapsed="false">
      <c r="A300" s="2" t="str">
        <f aca="false">Wheat_Yield_Data!A300</f>
        <v>Narowal</v>
      </c>
      <c r="B300" s="2" t="str">
        <f aca="false">Wheat_Yield_Data!B300</f>
        <v>2018-19</v>
      </c>
      <c r="C300" s="3" t="n">
        <f aca="false">Wheat_Yield_Data!C300</f>
        <v>144070</v>
      </c>
      <c r="D300" s="3" t="n">
        <f aca="false">Wheat_Yield_Data!D300</f>
        <v>314120</v>
      </c>
      <c r="E300" s="4" t="n">
        <f aca="false">Wheat_Yield_Data!E300</f>
        <v>2180</v>
      </c>
      <c r="F300" s="6" t="s">
        <v>118</v>
      </c>
      <c r="G300" s="2" t="s">
        <v>34</v>
      </c>
      <c r="H300" s="6" t="s">
        <v>114</v>
      </c>
      <c r="I300" s="2" t="s">
        <v>100</v>
      </c>
      <c r="J300" s="6" t="s">
        <v>413</v>
      </c>
    </row>
    <row r="301" customFormat="false" ht="35.05" hidden="false" customHeight="false" outlineLevel="0" collapsed="false">
      <c r="A301" s="2" t="str">
        <f aca="false">Wheat_Yield_Data!A301</f>
        <v>Narowal</v>
      </c>
      <c r="B301" s="2" t="str">
        <f aca="false">Wheat_Yield_Data!B301</f>
        <v>2020-21</v>
      </c>
      <c r="C301" s="3" t="n">
        <f aca="false">Wheat_Yield_Data!C301</f>
        <v>114120</v>
      </c>
      <c r="D301" s="3" t="n">
        <f aca="false">Wheat_Yield_Data!D301</f>
        <v>301080</v>
      </c>
      <c r="E301" s="4" t="n">
        <f aca="false">Wheat_Yield_Data!E301</f>
        <v>2638</v>
      </c>
      <c r="F301" s="6" t="s">
        <v>120</v>
      </c>
      <c r="G301" s="2" t="s">
        <v>37</v>
      </c>
      <c r="H301" s="6" t="s">
        <v>121</v>
      </c>
      <c r="I301" s="2" t="s">
        <v>100</v>
      </c>
      <c r="J301" s="6" t="s">
        <v>414</v>
      </c>
    </row>
    <row r="302" customFormat="false" ht="35.05" hidden="false" customHeight="false" outlineLevel="0" collapsed="false">
      <c r="A302" s="2" t="str">
        <f aca="false">Wheat_Yield_Data!A302</f>
        <v>Narowal</v>
      </c>
      <c r="B302" s="2" t="str">
        <f aca="false">Wheat_Yield_Data!B302</f>
        <v>2021-22</v>
      </c>
      <c r="C302" s="3" t="n">
        <f aca="false">Wheat_Yield_Data!C302</f>
        <v>123430</v>
      </c>
      <c r="D302" s="3" t="n">
        <f aca="false">Wheat_Yield_Data!D302</f>
        <v>279720</v>
      </c>
      <c r="E302" s="4" t="n">
        <f aca="false">Wheat_Yield_Data!E302</f>
        <v>2266</v>
      </c>
      <c r="F302" s="6" t="s">
        <v>123</v>
      </c>
      <c r="G302" s="2" t="s">
        <v>37</v>
      </c>
      <c r="H302" s="6" t="s">
        <v>121</v>
      </c>
      <c r="I302" s="2" t="s">
        <v>100</v>
      </c>
      <c r="J302" s="6" t="s">
        <v>415</v>
      </c>
    </row>
    <row r="303" customFormat="false" ht="23.85" hidden="false" customHeight="false" outlineLevel="0" collapsed="false">
      <c r="A303" s="2" t="str">
        <f aca="false">Wheat_Yield_Data!A303</f>
        <v>Narowal</v>
      </c>
      <c r="B303" s="2" t="str">
        <f aca="false">Wheat_Yield_Data!B303</f>
        <v>2022-23</v>
      </c>
      <c r="C303" s="3" t="n">
        <f aca="false">Wheat_Yield_Data!C303</f>
        <v>126300</v>
      </c>
      <c r="D303" s="3" t="n">
        <f aca="false">Wheat_Yield_Data!D303</f>
        <v>364800</v>
      </c>
      <c r="E303" s="4" t="n">
        <f aca="false">Wheat_Yield_Data!E303</f>
        <v>2889</v>
      </c>
      <c r="F303" s="6" t="s">
        <v>125</v>
      </c>
      <c r="G303" s="2" t="s">
        <v>43</v>
      </c>
      <c r="H303" s="6" t="s">
        <v>126</v>
      </c>
      <c r="I303" s="2" t="s">
        <v>100</v>
      </c>
      <c r="J303" s="6" t="s">
        <v>416</v>
      </c>
    </row>
    <row r="304" customFormat="false" ht="35.05" hidden="false" customHeight="false" outlineLevel="0" collapsed="false">
      <c r="A304" s="2" t="str">
        <f aca="false">Wheat_Yield_Data!A304</f>
        <v>Okara</v>
      </c>
      <c r="B304" s="2" t="str">
        <f aca="false">Wheat_Yield_Data!B304</f>
        <v>2010-11</v>
      </c>
      <c r="C304" s="3" t="n">
        <f aca="false">Wheat_Yield_Data!C304</f>
        <v>218520</v>
      </c>
      <c r="D304" s="3" t="n">
        <f aca="false">Wheat_Yield_Data!D304</f>
        <v>782740</v>
      </c>
      <c r="E304" s="4" t="n">
        <f aca="false">Wheat_Yield_Data!E304</f>
        <v>3582</v>
      </c>
      <c r="F304" s="6" t="s">
        <v>98</v>
      </c>
      <c r="G304" s="2" t="s">
        <v>11</v>
      </c>
      <c r="H304" s="6" t="s">
        <v>99</v>
      </c>
      <c r="I304" s="2" t="s">
        <v>100</v>
      </c>
      <c r="J304" s="6" t="s">
        <v>417</v>
      </c>
    </row>
    <row r="305" customFormat="false" ht="35.05" hidden="false" customHeight="false" outlineLevel="0" collapsed="false">
      <c r="A305" s="2" t="str">
        <f aca="false">Wheat_Yield_Data!A305</f>
        <v>Okara</v>
      </c>
      <c r="B305" s="2" t="str">
        <f aca="false">Wheat_Yield_Data!B305</f>
        <v>2011-12</v>
      </c>
      <c r="C305" s="3" t="n">
        <f aca="false">Wheat_Yield_Data!C305</f>
        <v>204760</v>
      </c>
      <c r="D305" s="3" t="n">
        <f aca="false">Wheat_Yield_Data!D305</f>
        <v>726610</v>
      </c>
      <c r="E305" s="4" t="n">
        <f aca="false">Wheat_Yield_Data!E305</f>
        <v>3548</v>
      </c>
      <c r="F305" s="6" t="s">
        <v>102</v>
      </c>
      <c r="G305" s="2" t="s">
        <v>11</v>
      </c>
      <c r="H305" s="6" t="s">
        <v>99</v>
      </c>
      <c r="I305" s="2" t="s">
        <v>100</v>
      </c>
      <c r="J305" s="6" t="s">
        <v>418</v>
      </c>
    </row>
    <row r="306" customFormat="false" ht="46.25" hidden="false" customHeight="false" outlineLevel="0" collapsed="false">
      <c r="A306" s="2" t="str">
        <f aca="false">Wheat_Yield_Data!A306</f>
        <v>Okara</v>
      </c>
      <c r="B306" s="2" t="str">
        <f aca="false">Wheat_Yield_Data!B306</f>
        <v>2012-13</v>
      </c>
      <c r="C306" s="3" t="n">
        <f aca="false">Wheat_Yield_Data!C306</f>
        <v>214480</v>
      </c>
      <c r="D306" s="3" t="n">
        <f aca="false">Wheat_Yield_Data!D306</f>
        <v>765560</v>
      </c>
      <c r="E306" s="4" t="n">
        <f aca="false">Wheat_Yield_Data!E306</f>
        <v>3569</v>
      </c>
      <c r="F306" s="6" t="s">
        <v>104</v>
      </c>
      <c r="G306" s="2" t="s">
        <v>18</v>
      </c>
      <c r="H306" s="6" t="s">
        <v>99</v>
      </c>
      <c r="I306" s="2" t="s">
        <v>100</v>
      </c>
      <c r="J306" s="6" t="s">
        <v>419</v>
      </c>
    </row>
    <row r="307" customFormat="false" ht="35.05" hidden="false" customHeight="false" outlineLevel="0" collapsed="false">
      <c r="A307" s="2" t="str">
        <f aca="false">Wheat_Yield_Data!A307</f>
        <v>Okara</v>
      </c>
      <c r="B307" s="2" t="str">
        <f aca="false">Wheat_Yield_Data!B307</f>
        <v>2013-14</v>
      </c>
      <c r="C307" s="3" t="n">
        <f aca="false">Wheat_Yield_Data!C307</f>
        <v>227020</v>
      </c>
      <c r="D307" s="3" t="n">
        <f aca="false">Wheat_Yield_Data!D307</f>
        <v>814530</v>
      </c>
      <c r="E307" s="4" t="n">
        <f aca="false">Wheat_Yield_Data!E307</f>
        <v>3588</v>
      </c>
      <c r="F307" s="6" t="s">
        <v>106</v>
      </c>
      <c r="G307" s="2" t="s">
        <v>18</v>
      </c>
      <c r="H307" s="6" t="s">
        <v>99</v>
      </c>
      <c r="I307" s="2" t="s">
        <v>100</v>
      </c>
      <c r="J307" s="6" t="s">
        <v>420</v>
      </c>
    </row>
    <row r="308" customFormat="false" ht="35.05" hidden="false" customHeight="false" outlineLevel="0" collapsed="false">
      <c r="A308" s="2" t="str">
        <f aca="false">Wheat_Yield_Data!A308</f>
        <v>Okara</v>
      </c>
      <c r="B308" s="2" t="str">
        <f aca="false">Wheat_Yield_Data!B308</f>
        <v>2014-15</v>
      </c>
      <c r="C308" s="3" t="n">
        <f aca="false">Wheat_Yield_Data!C308</f>
        <v>205170</v>
      </c>
      <c r="D308" s="3" t="n">
        <f aca="false">Wheat_Yield_Data!D308</f>
        <v>711340</v>
      </c>
      <c r="E308" s="4" t="n">
        <f aca="false">Wheat_Yield_Data!E308</f>
        <v>3467</v>
      </c>
      <c r="F308" s="6" t="s">
        <v>108</v>
      </c>
      <c r="G308" s="2" t="s">
        <v>23</v>
      </c>
      <c r="H308" s="6" t="s">
        <v>99</v>
      </c>
      <c r="I308" s="2" t="s">
        <v>100</v>
      </c>
      <c r="J308" s="6" t="s">
        <v>421</v>
      </c>
    </row>
    <row r="309" customFormat="false" ht="35.05" hidden="false" customHeight="false" outlineLevel="0" collapsed="false">
      <c r="A309" s="2" t="str">
        <f aca="false">Wheat_Yield_Data!A309</f>
        <v>Okara</v>
      </c>
      <c r="B309" s="2" t="str">
        <f aca="false">Wheat_Yield_Data!B309</f>
        <v>2015-16</v>
      </c>
      <c r="C309" s="3" t="n">
        <f aca="false">Wheat_Yield_Data!C309</f>
        <v>204770</v>
      </c>
      <c r="D309" s="3" t="n">
        <f aca="false">Wheat_Yield_Data!D309</f>
        <v>651010</v>
      </c>
      <c r="E309" s="4" t="n">
        <f aca="false">Wheat_Yield_Data!E309</f>
        <v>3179</v>
      </c>
      <c r="F309" s="6" t="s">
        <v>110</v>
      </c>
      <c r="G309" s="2" t="s">
        <v>23</v>
      </c>
      <c r="H309" s="6" t="s">
        <v>99</v>
      </c>
      <c r="I309" s="2" t="s">
        <v>100</v>
      </c>
      <c r="J309" s="6" t="s">
        <v>422</v>
      </c>
    </row>
    <row r="310" customFormat="false" ht="46.25" hidden="false" customHeight="false" outlineLevel="0" collapsed="false">
      <c r="A310" s="2" t="str">
        <f aca="false">Wheat_Yield_Data!A310</f>
        <v>Okara</v>
      </c>
      <c r="B310" s="2" t="str">
        <f aca="false">Wheat_Yield_Data!B310</f>
        <v>2016-17</v>
      </c>
      <c r="C310" s="3" t="n">
        <f aca="false">Wheat_Yield_Data!C310</f>
        <v>206790</v>
      </c>
      <c r="D310" s="3" t="n">
        <f aca="false">Wheat_Yield_Data!D310</f>
        <v>707600</v>
      </c>
      <c r="E310" s="4" t="n">
        <f aca="false">Wheat_Yield_Data!E310</f>
        <v>3422</v>
      </c>
      <c r="F310" s="6" t="s">
        <v>113</v>
      </c>
      <c r="G310" s="2" t="s">
        <v>29</v>
      </c>
      <c r="H310" s="6" t="s">
        <v>114</v>
      </c>
      <c r="I310" s="2" t="s">
        <v>100</v>
      </c>
      <c r="J310" s="6" t="s">
        <v>423</v>
      </c>
    </row>
    <row r="311" customFormat="false" ht="46.25" hidden="false" customHeight="false" outlineLevel="0" collapsed="false">
      <c r="A311" s="2" t="str">
        <f aca="false">Wheat_Yield_Data!A311</f>
        <v>Okara</v>
      </c>
      <c r="B311" s="2" t="str">
        <f aca="false">Wheat_Yield_Data!B311</f>
        <v>2017-18</v>
      </c>
      <c r="C311" s="3" t="n">
        <f aca="false">Wheat_Yield_Data!C311</f>
        <v>201930</v>
      </c>
      <c r="D311" s="3" t="n">
        <f aca="false">Wheat_Yield_Data!D311</f>
        <v>642930</v>
      </c>
      <c r="E311" s="4" t="n">
        <f aca="false">Wheat_Yield_Data!E311</f>
        <v>3184</v>
      </c>
      <c r="F311" s="6" t="s">
        <v>116</v>
      </c>
      <c r="G311" s="2" t="s">
        <v>29</v>
      </c>
      <c r="H311" s="6" t="s">
        <v>114</v>
      </c>
      <c r="I311" s="2" t="s">
        <v>100</v>
      </c>
      <c r="J311" s="6" t="s">
        <v>424</v>
      </c>
    </row>
    <row r="312" customFormat="false" ht="46.25" hidden="false" customHeight="false" outlineLevel="0" collapsed="false">
      <c r="A312" s="2" t="str">
        <f aca="false">Wheat_Yield_Data!A312</f>
        <v>Okara</v>
      </c>
      <c r="B312" s="2" t="str">
        <f aca="false">Wheat_Yield_Data!B312</f>
        <v>2018-19</v>
      </c>
      <c r="C312" s="3" t="n">
        <f aca="false">Wheat_Yield_Data!C312</f>
        <v>181700</v>
      </c>
      <c r="D312" s="3" t="n">
        <f aca="false">Wheat_Yield_Data!D312</f>
        <v>598620</v>
      </c>
      <c r="E312" s="4" t="n">
        <f aca="false">Wheat_Yield_Data!E312</f>
        <v>3295</v>
      </c>
      <c r="F312" s="6" t="s">
        <v>118</v>
      </c>
      <c r="G312" s="2" t="s">
        <v>34</v>
      </c>
      <c r="H312" s="6" t="s">
        <v>114</v>
      </c>
      <c r="I312" s="2" t="s">
        <v>100</v>
      </c>
      <c r="J312" s="6" t="s">
        <v>425</v>
      </c>
    </row>
    <row r="313" customFormat="false" ht="35.05" hidden="false" customHeight="false" outlineLevel="0" collapsed="false">
      <c r="A313" s="2" t="str">
        <f aca="false">Wheat_Yield_Data!A313</f>
        <v>Okara</v>
      </c>
      <c r="B313" s="2" t="str">
        <f aca="false">Wheat_Yield_Data!B313</f>
        <v>2020-21</v>
      </c>
      <c r="C313" s="3" t="n">
        <f aca="false">Wheat_Yield_Data!C313</f>
        <v>151750</v>
      </c>
      <c r="D313" s="3" t="n">
        <f aca="false">Wheat_Yield_Data!D313</f>
        <v>571500</v>
      </c>
      <c r="E313" s="4" t="n">
        <f aca="false">Wheat_Yield_Data!E313</f>
        <v>3766</v>
      </c>
      <c r="F313" s="6" t="s">
        <v>120</v>
      </c>
      <c r="G313" s="2" t="s">
        <v>37</v>
      </c>
      <c r="H313" s="6" t="s">
        <v>121</v>
      </c>
      <c r="I313" s="2" t="s">
        <v>100</v>
      </c>
      <c r="J313" s="6" t="s">
        <v>426</v>
      </c>
    </row>
    <row r="314" customFormat="false" ht="35.05" hidden="false" customHeight="false" outlineLevel="0" collapsed="false">
      <c r="A314" s="2" t="str">
        <f aca="false">Wheat_Yield_Data!A314</f>
        <v>Okara</v>
      </c>
      <c r="B314" s="2" t="str">
        <f aca="false">Wheat_Yield_Data!B314</f>
        <v>2021-22</v>
      </c>
      <c r="C314" s="3" t="n">
        <f aca="false">Wheat_Yield_Data!C314</f>
        <v>133140</v>
      </c>
      <c r="D314" s="3" t="n">
        <f aca="false">Wheat_Yield_Data!D314</f>
        <v>502580</v>
      </c>
      <c r="E314" s="4" t="n">
        <f aca="false">Wheat_Yield_Data!E314</f>
        <v>3775</v>
      </c>
      <c r="F314" s="6" t="s">
        <v>123</v>
      </c>
      <c r="G314" s="2" t="s">
        <v>37</v>
      </c>
      <c r="H314" s="6" t="s">
        <v>121</v>
      </c>
      <c r="I314" s="2" t="s">
        <v>100</v>
      </c>
      <c r="J314" s="6" t="s">
        <v>427</v>
      </c>
    </row>
    <row r="315" customFormat="false" ht="23.85" hidden="false" customHeight="false" outlineLevel="0" collapsed="false">
      <c r="A315" s="2" t="str">
        <f aca="false">Wheat_Yield_Data!A315</f>
        <v>Okara</v>
      </c>
      <c r="B315" s="2" t="str">
        <f aca="false">Wheat_Yield_Data!B315</f>
        <v>2022-23</v>
      </c>
      <c r="C315" s="3" t="n">
        <f aca="false">Wheat_Yield_Data!C315</f>
        <v>129100</v>
      </c>
      <c r="D315" s="3" t="n">
        <f aca="false">Wheat_Yield_Data!D315</f>
        <v>506400</v>
      </c>
      <c r="E315" s="4" t="n">
        <f aca="false">Wheat_Yield_Data!E315</f>
        <v>3923</v>
      </c>
      <c r="F315" s="6" t="s">
        <v>125</v>
      </c>
      <c r="G315" s="2" t="s">
        <v>43</v>
      </c>
      <c r="H315" s="6" t="s">
        <v>126</v>
      </c>
      <c r="I315" s="2" t="s">
        <v>100</v>
      </c>
      <c r="J315" s="6" t="s">
        <v>428</v>
      </c>
    </row>
    <row r="316" customFormat="false" ht="35.05" hidden="false" customHeight="false" outlineLevel="0" collapsed="false">
      <c r="A316" s="2" t="str">
        <f aca="false">Wheat_Yield_Data!A316</f>
        <v>Pakpattan</v>
      </c>
      <c r="B316" s="2" t="str">
        <f aca="false">Wheat_Yield_Data!B316</f>
        <v>2010-11</v>
      </c>
      <c r="C316" s="3" t="n">
        <f aca="false">Wheat_Yield_Data!C316</f>
        <v>147300</v>
      </c>
      <c r="D316" s="3" t="n">
        <f aca="false">Wheat_Yield_Data!D316</f>
        <v>555270</v>
      </c>
      <c r="E316" s="4" t="n">
        <f aca="false">Wheat_Yield_Data!E316</f>
        <v>3770</v>
      </c>
      <c r="F316" s="6" t="s">
        <v>98</v>
      </c>
      <c r="G316" s="2" t="s">
        <v>11</v>
      </c>
      <c r="H316" s="6" t="s">
        <v>99</v>
      </c>
      <c r="I316" s="2" t="s">
        <v>100</v>
      </c>
      <c r="J316" s="6" t="s">
        <v>429</v>
      </c>
    </row>
    <row r="317" customFormat="false" ht="35.05" hidden="false" customHeight="false" outlineLevel="0" collapsed="false">
      <c r="A317" s="2" t="str">
        <f aca="false">Wheat_Yield_Data!A317</f>
        <v>Pakpattan</v>
      </c>
      <c r="B317" s="2" t="str">
        <f aca="false">Wheat_Yield_Data!B317</f>
        <v>2011-12</v>
      </c>
      <c r="C317" s="3" t="n">
        <f aca="false">Wheat_Yield_Data!C317</f>
        <v>141230</v>
      </c>
      <c r="D317" s="3" t="n">
        <f aca="false">Wheat_Yield_Data!D317</f>
        <v>474810</v>
      </c>
      <c r="E317" s="4" t="n">
        <f aca="false">Wheat_Yield_Data!E317</f>
        <v>3362</v>
      </c>
      <c r="F317" s="6" t="s">
        <v>102</v>
      </c>
      <c r="G317" s="2" t="s">
        <v>11</v>
      </c>
      <c r="H317" s="6" t="s">
        <v>99</v>
      </c>
      <c r="I317" s="2" t="s">
        <v>100</v>
      </c>
      <c r="J317" s="6" t="s">
        <v>430</v>
      </c>
    </row>
    <row r="318" customFormat="false" ht="46.25" hidden="false" customHeight="false" outlineLevel="0" collapsed="false">
      <c r="A318" s="2" t="str">
        <f aca="false">Wheat_Yield_Data!A318</f>
        <v>Pakpattan</v>
      </c>
      <c r="B318" s="2" t="str">
        <f aca="false">Wheat_Yield_Data!B318</f>
        <v>2012-13</v>
      </c>
      <c r="C318" s="3" t="n">
        <f aca="false">Wheat_Yield_Data!C318</f>
        <v>151760</v>
      </c>
      <c r="D318" s="3" t="n">
        <f aca="false">Wheat_Yield_Data!D318</f>
        <v>530200</v>
      </c>
      <c r="E318" s="4" t="n">
        <f aca="false">Wheat_Yield_Data!E318</f>
        <v>3494</v>
      </c>
      <c r="F318" s="6" t="s">
        <v>104</v>
      </c>
      <c r="G318" s="2" t="s">
        <v>18</v>
      </c>
      <c r="H318" s="6" t="s">
        <v>99</v>
      </c>
      <c r="I318" s="2" t="s">
        <v>100</v>
      </c>
      <c r="J318" s="6" t="s">
        <v>431</v>
      </c>
    </row>
    <row r="319" customFormat="false" ht="35.05" hidden="false" customHeight="false" outlineLevel="0" collapsed="false">
      <c r="A319" s="2" t="str">
        <f aca="false">Wheat_Yield_Data!A319</f>
        <v>Pakpattan</v>
      </c>
      <c r="B319" s="2" t="str">
        <f aca="false">Wheat_Yield_Data!B319</f>
        <v>2013-14</v>
      </c>
      <c r="C319" s="3" t="n">
        <f aca="false">Wheat_Yield_Data!C319</f>
        <v>157820</v>
      </c>
      <c r="D319" s="3" t="n">
        <f aca="false">Wheat_Yield_Data!D319</f>
        <v>560430</v>
      </c>
      <c r="E319" s="4" t="n">
        <f aca="false">Wheat_Yield_Data!E319</f>
        <v>3551</v>
      </c>
      <c r="F319" s="6" t="s">
        <v>106</v>
      </c>
      <c r="G319" s="2" t="s">
        <v>18</v>
      </c>
      <c r="H319" s="6" t="s">
        <v>99</v>
      </c>
      <c r="I319" s="2" t="s">
        <v>100</v>
      </c>
      <c r="J319" s="6" t="s">
        <v>432</v>
      </c>
    </row>
    <row r="320" customFormat="false" ht="35.05" hidden="false" customHeight="false" outlineLevel="0" collapsed="false">
      <c r="A320" s="2" t="str">
        <f aca="false">Wheat_Yield_Data!A320</f>
        <v>Pakpattan</v>
      </c>
      <c r="B320" s="2" t="str">
        <f aca="false">Wheat_Yield_Data!B320</f>
        <v>2014-15</v>
      </c>
      <c r="C320" s="3" t="n">
        <f aca="false">Wheat_Yield_Data!C320</f>
        <v>154180</v>
      </c>
      <c r="D320" s="3" t="n">
        <f aca="false">Wheat_Yield_Data!D320</f>
        <v>518770</v>
      </c>
      <c r="E320" s="4" t="n">
        <f aca="false">Wheat_Yield_Data!E320</f>
        <v>3365</v>
      </c>
      <c r="F320" s="6" t="s">
        <v>108</v>
      </c>
      <c r="G320" s="2" t="s">
        <v>23</v>
      </c>
      <c r="H320" s="6" t="s">
        <v>99</v>
      </c>
      <c r="I320" s="2" t="s">
        <v>100</v>
      </c>
      <c r="J320" s="6" t="s">
        <v>433</v>
      </c>
    </row>
    <row r="321" customFormat="false" ht="35.05" hidden="false" customHeight="false" outlineLevel="0" collapsed="false">
      <c r="A321" s="2" t="str">
        <f aca="false">Wheat_Yield_Data!A321</f>
        <v>Pakpattan</v>
      </c>
      <c r="B321" s="2" t="str">
        <f aca="false">Wheat_Yield_Data!B321</f>
        <v>2015-16</v>
      </c>
      <c r="C321" s="3" t="n">
        <f aca="false">Wheat_Yield_Data!C321</f>
        <v>162280</v>
      </c>
      <c r="D321" s="3" t="n">
        <f aca="false">Wheat_Yield_Data!D321</f>
        <v>555130</v>
      </c>
      <c r="E321" s="4" t="n">
        <f aca="false">Wheat_Yield_Data!E321</f>
        <v>3421</v>
      </c>
      <c r="F321" s="6" t="s">
        <v>110</v>
      </c>
      <c r="G321" s="2" t="s">
        <v>23</v>
      </c>
      <c r="H321" s="6" t="s">
        <v>99</v>
      </c>
      <c r="I321" s="2" t="s">
        <v>100</v>
      </c>
      <c r="J321" s="6" t="s">
        <v>434</v>
      </c>
    </row>
    <row r="322" customFormat="false" ht="46.25" hidden="false" customHeight="false" outlineLevel="0" collapsed="false">
      <c r="A322" s="2" t="str">
        <f aca="false">Wheat_Yield_Data!A322</f>
        <v>Pakpattan</v>
      </c>
      <c r="B322" s="2" t="str">
        <f aca="false">Wheat_Yield_Data!B322</f>
        <v>2016-17</v>
      </c>
      <c r="C322" s="3" t="n">
        <f aca="false">Wheat_Yield_Data!C322</f>
        <v>144470</v>
      </c>
      <c r="D322" s="3" t="n">
        <f aca="false">Wheat_Yield_Data!D322</f>
        <v>510880</v>
      </c>
      <c r="E322" s="4" t="n">
        <f aca="false">Wheat_Yield_Data!E322</f>
        <v>3536</v>
      </c>
      <c r="F322" s="6" t="s">
        <v>113</v>
      </c>
      <c r="G322" s="2" t="s">
        <v>29</v>
      </c>
      <c r="H322" s="6" t="s">
        <v>114</v>
      </c>
      <c r="I322" s="2" t="s">
        <v>100</v>
      </c>
      <c r="J322" s="6" t="s">
        <v>435</v>
      </c>
    </row>
    <row r="323" customFormat="false" ht="46.25" hidden="false" customHeight="false" outlineLevel="0" collapsed="false">
      <c r="A323" s="2" t="str">
        <f aca="false">Wheat_Yield_Data!A323</f>
        <v>Pakpattan</v>
      </c>
      <c r="B323" s="2" t="str">
        <f aca="false">Wheat_Yield_Data!B323</f>
        <v>2017-18</v>
      </c>
      <c r="C323" s="3" t="n">
        <f aca="false">Wheat_Yield_Data!C323</f>
        <v>133540</v>
      </c>
      <c r="D323" s="3" t="n">
        <f aca="false">Wheat_Yield_Data!D323</f>
        <v>463370</v>
      </c>
      <c r="E323" s="4" t="n">
        <f aca="false">Wheat_Yield_Data!E323</f>
        <v>3470</v>
      </c>
      <c r="F323" s="6" t="s">
        <v>116</v>
      </c>
      <c r="G323" s="2" t="s">
        <v>29</v>
      </c>
      <c r="H323" s="6" t="s">
        <v>114</v>
      </c>
      <c r="I323" s="2" t="s">
        <v>100</v>
      </c>
      <c r="J323" s="6" t="s">
        <v>436</v>
      </c>
    </row>
    <row r="324" customFormat="false" ht="46.25" hidden="false" customHeight="false" outlineLevel="0" collapsed="false">
      <c r="A324" s="2" t="str">
        <f aca="false">Wheat_Yield_Data!A324</f>
        <v>Pakpattan</v>
      </c>
      <c r="B324" s="2" t="str">
        <f aca="false">Wheat_Yield_Data!B324</f>
        <v>2018-19</v>
      </c>
      <c r="C324" s="3" t="n">
        <f aca="false">Wheat_Yield_Data!C324</f>
        <v>123020</v>
      </c>
      <c r="D324" s="3" t="n">
        <f aca="false">Wheat_Yield_Data!D324</f>
        <v>431740</v>
      </c>
      <c r="E324" s="4" t="n">
        <f aca="false">Wheat_Yield_Data!E324</f>
        <v>3509</v>
      </c>
      <c r="F324" s="6" t="s">
        <v>118</v>
      </c>
      <c r="G324" s="2" t="s">
        <v>34</v>
      </c>
      <c r="H324" s="6" t="s">
        <v>114</v>
      </c>
      <c r="I324" s="2" t="s">
        <v>100</v>
      </c>
      <c r="J324" s="6" t="s">
        <v>437</v>
      </c>
    </row>
    <row r="325" customFormat="false" ht="35.05" hidden="false" customHeight="false" outlineLevel="0" collapsed="false">
      <c r="A325" s="2" t="str">
        <f aca="false">Wheat_Yield_Data!A325</f>
        <v>Pakpattan</v>
      </c>
      <c r="B325" s="2" t="str">
        <f aca="false">Wheat_Yield_Data!B325</f>
        <v>2020-21</v>
      </c>
      <c r="C325" s="3" t="n">
        <f aca="false">Wheat_Yield_Data!C325</f>
        <v>111290</v>
      </c>
      <c r="D325" s="3" t="n">
        <f aca="false">Wheat_Yield_Data!D325</f>
        <v>405350</v>
      </c>
      <c r="E325" s="4" t="n">
        <f aca="false">Wheat_Yield_Data!E325</f>
        <v>3642</v>
      </c>
      <c r="F325" s="6" t="s">
        <v>120</v>
      </c>
      <c r="G325" s="2" t="s">
        <v>37</v>
      </c>
      <c r="H325" s="6" t="s">
        <v>121</v>
      </c>
      <c r="I325" s="2" t="s">
        <v>100</v>
      </c>
      <c r="J325" s="6" t="s">
        <v>438</v>
      </c>
    </row>
    <row r="326" customFormat="false" ht="35.05" hidden="false" customHeight="false" outlineLevel="0" collapsed="false">
      <c r="A326" s="2" t="str">
        <f aca="false">Wheat_Yield_Data!A326</f>
        <v>Pakpattan</v>
      </c>
      <c r="B326" s="2" t="str">
        <f aca="false">Wheat_Yield_Data!B326</f>
        <v>2021-22</v>
      </c>
      <c r="C326" s="3" t="n">
        <f aca="false">Wheat_Yield_Data!C326</f>
        <v>93890</v>
      </c>
      <c r="D326" s="3" t="n">
        <f aca="false">Wheat_Yield_Data!D326</f>
        <v>323500</v>
      </c>
      <c r="E326" s="4" t="n">
        <f aca="false">Wheat_Yield_Data!E326</f>
        <v>3446</v>
      </c>
      <c r="F326" s="6" t="s">
        <v>123</v>
      </c>
      <c r="G326" s="2" t="s">
        <v>37</v>
      </c>
      <c r="H326" s="6" t="s">
        <v>121</v>
      </c>
      <c r="I326" s="2" t="s">
        <v>100</v>
      </c>
      <c r="J326" s="6" t="s">
        <v>439</v>
      </c>
    </row>
    <row r="327" customFormat="false" ht="23.85" hidden="false" customHeight="false" outlineLevel="0" collapsed="false">
      <c r="A327" s="2" t="str">
        <f aca="false">Wheat_Yield_Data!A327</f>
        <v>Pakpattan</v>
      </c>
      <c r="B327" s="2" t="str">
        <f aca="false">Wheat_Yield_Data!B327</f>
        <v>2022-23</v>
      </c>
      <c r="C327" s="3" t="n">
        <f aca="false">Wheat_Yield_Data!C327</f>
        <v>85400</v>
      </c>
      <c r="D327" s="3" t="n">
        <f aca="false">Wheat_Yield_Data!D327</f>
        <v>324800</v>
      </c>
      <c r="E327" s="4" t="n">
        <f aca="false">Wheat_Yield_Data!E327</f>
        <v>3804</v>
      </c>
      <c r="F327" s="6" t="s">
        <v>125</v>
      </c>
      <c r="G327" s="2" t="s">
        <v>43</v>
      </c>
      <c r="H327" s="6" t="s">
        <v>126</v>
      </c>
      <c r="I327" s="2" t="s">
        <v>100</v>
      </c>
      <c r="J327" s="6" t="s">
        <v>440</v>
      </c>
    </row>
    <row r="328" customFormat="false" ht="35.05" hidden="false" customHeight="false" outlineLevel="0" collapsed="false">
      <c r="A328" s="2" t="str">
        <f aca="false">Wheat_Yield_Data!A328</f>
        <v>Rahim Yar Khan</v>
      </c>
      <c r="B328" s="2" t="str">
        <f aca="false">Wheat_Yield_Data!B328</f>
        <v>2010-11</v>
      </c>
      <c r="C328" s="3" t="n">
        <f aca="false">Wheat_Yield_Data!C328</f>
        <v>301890</v>
      </c>
      <c r="D328" s="3" t="n">
        <f aca="false">Wheat_Yield_Data!D328</f>
        <v>941940</v>
      </c>
      <c r="E328" s="4" t="n">
        <f aca="false">Wheat_Yield_Data!E328</f>
        <v>3120</v>
      </c>
      <c r="F328" s="6" t="s">
        <v>98</v>
      </c>
      <c r="G328" s="2" t="s">
        <v>11</v>
      </c>
      <c r="H328" s="6" t="s">
        <v>99</v>
      </c>
      <c r="I328" s="2" t="s">
        <v>100</v>
      </c>
      <c r="J328" s="6" t="s">
        <v>441</v>
      </c>
    </row>
    <row r="329" customFormat="false" ht="35.05" hidden="false" customHeight="false" outlineLevel="0" collapsed="false">
      <c r="A329" s="2" t="str">
        <f aca="false">Wheat_Yield_Data!A329</f>
        <v>Rahim Yar Khan</v>
      </c>
      <c r="B329" s="2" t="str">
        <f aca="false">Wheat_Yield_Data!B329</f>
        <v>2011-12</v>
      </c>
      <c r="C329" s="3" t="n">
        <f aca="false">Wheat_Yield_Data!C329</f>
        <v>285700</v>
      </c>
      <c r="D329" s="3" t="n">
        <f aca="false">Wheat_Yield_Data!D329</f>
        <v>887160</v>
      </c>
      <c r="E329" s="4" t="n">
        <f aca="false">Wheat_Yield_Data!E329</f>
        <v>3105</v>
      </c>
      <c r="F329" s="6" t="s">
        <v>102</v>
      </c>
      <c r="G329" s="2" t="s">
        <v>11</v>
      </c>
      <c r="H329" s="6" t="s">
        <v>99</v>
      </c>
      <c r="I329" s="2" t="s">
        <v>100</v>
      </c>
      <c r="J329" s="6" t="s">
        <v>442</v>
      </c>
    </row>
    <row r="330" customFormat="false" ht="46.25" hidden="false" customHeight="false" outlineLevel="0" collapsed="false">
      <c r="A330" s="2" t="str">
        <f aca="false">Wheat_Yield_Data!A330</f>
        <v>Rahim Yar Khan</v>
      </c>
      <c r="B330" s="2" t="str">
        <f aca="false">Wheat_Yield_Data!B330</f>
        <v>2012-13</v>
      </c>
      <c r="C330" s="3" t="n">
        <f aca="false">Wheat_Yield_Data!C330</f>
        <v>279230</v>
      </c>
      <c r="D330" s="3" t="n">
        <f aca="false">Wheat_Yield_Data!D330</f>
        <v>929950</v>
      </c>
      <c r="E330" s="4" t="n">
        <f aca="false">Wheat_Yield_Data!E330</f>
        <v>3330</v>
      </c>
      <c r="F330" s="6" t="s">
        <v>104</v>
      </c>
      <c r="G330" s="2" t="s">
        <v>18</v>
      </c>
      <c r="H330" s="6" t="s">
        <v>99</v>
      </c>
      <c r="I330" s="2" t="s">
        <v>100</v>
      </c>
      <c r="J330" s="6" t="s">
        <v>443</v>
      </c>
    </row>
    <row r="331" customFormat="false" ht="35.05" hidden="false" customHeight="false" outlineLevel="0" collapsed="false">
      <c r="A331" s="2" t="str">
        <f aca="false">Wheat_Yield_Data!A331</f>
        <v>Rahim Yar Khan</v>
      </c>
      <c r="B331" s="2" t="str">
        <f aca="false">Wheat_Yield_Data!B331</f>
        <v>2013-14</v>
      </c>
      <c r="C331" s="3" t="n">
        <f aca="false">Wheat_Yield_Data!C331</f>
        <v>293390</v>
      </c>
      <c r="D331" s="3" t="n">
        <f aca="false">Wheat_Yield_Data!D331</f>
        <v>988580</v>
      </c>
      <c r="E331" s="4" t="n">
        <f aca="false">Wheat_Yield_Data!E331</f>
        <v>3369</v>
      </c>
      <c r="F331" s="6" t="s">
        <v>106</v>
      </c>
      <c r="G331" s="2" t="s">
        <v>18</v>
      </c>
      <c r="H331" s="6" t="s">
        <v>99</v>
      </c>
      <c r="I331" s="2" t="s">
        <v>100</v>
      </c>
      <c r="J331" s="6" t="s">
        <v>444</v>
      </c>
    </row>
    <row r="332" customFormat="false" ht="35.05" hidden="false" customHeight="false" outlineLevel="0" collapsed="false">
      <c r="A332" s="2" t="str">
        <f aca="false">Wheat_Yield_Data!A332</f>
        <v>Rahim Yar Khan</v>
      </c>
      <c r="B332" s="2" t="str">
        <f aca="false">Wheat_Yield_Data!B332</f>
        <v>2014-15</v>
      </c>
      <c r="C332" s="3" t="n">
        <f aca="false">Wheat_Yield_Data!C332</f>
        <v>324950</v>
      </c>
      <c r="D332" s="3" t="n">
        <f aca="false">Wheat_Yield_Data!D332</f>
        <v>1025580</v>
      </c>
      <c r="E332" s="4" t="n">
        <f aca="false">Wheat_Yield_Data!E332</f>
        <v>3156</v>
      </c>
      <c r="F332" s="6" t="s">
        <v>108</v>
      </c>
      <c r="G332" s="2" t="s">
        <v>23</v>
      </c>
      <c r="H332" s="6" t="s">
        <v>99</v>
      </c>
      <c r="I332" s="2" t="s">
        <v>100</v>
      </c>
      <c r="J332" s="6" t="s">
        <v>445</v>
      </c>
    </row>
    <row r="333" customFormat="false" ht="35.05" hidden="false" customHeight="false" outlineLevel="0" collapsed="false">
      <c r="A333" s="2" t="str">
        <f aca="false">Wheat_Yield_Data!A333</f>
        <v>Rahim Yar Khan</v>
      </c>
      <c r="B333" s="2" t="str">
        <f aca="false">Wheat_Yield_Data!B333</f>
        <v>2015-16</v>
      </c>
      <c r="C333" s="3" t="n">
        <f aca="false">Wheat_Yield_Data!C333</f>
        <v>309170</v>
      </c>
      <c r="D333" s="3" t="n">
        <f aca="false">Wheat_Yield_Data!D333</f>
        <v>1015970</v>
      </c>
      <c r="E333" s="4" t="n">
        <f aca="false">Wheat_Yield_Data!E333</f>
        <v>3288</v>
      </c>
      <c r="F333" s="6" t="s">
        <v>110</v>
      </c>
      <c r="G333" s="2" t="s">
        <v>23</v>
      </c>
      <c r="H333" s="6" t="s">
        <v>99</v>
      </c>
      <c r="I333" s="2" t="s">
        <v>100</v>
      </c>
      <c r="J333" s="6" t="s">
        <v>446</v>
      </c>
    </row>
    <row r="334" customFormat="false" ht="46.25" hidden="false" customHeight="false" outlineLevel="0" collapsed="false">
      <c r="A334" s="2" t="str">
        <f aca="false">Wheat_Yield_Data!A334</f>
        <v>Rahim Yar Khan</v>
      </c>
      <c r="B334" s="2" t="str">
        <f aca="false">Wheat_Yield_Data!B334</f>
        <v>2016-17</v>
      </c>
      <c r="C334" s="3" t="n">
        <f aca="false">Wheat_Yield_Data!C334</f>
        <v>279220</v>
      </c>
      <c r="D334" s="3" t="n">
        <f aca="false">Wheat_Yield_Data!D334</f>
        <v>953730</v>
      </c>
      <c r="E334" s="4" t="n">
        <f aca="false">Wheat_Yield_Data!E334</f>
        <v>3415</v>
      </c>
      <c r="F334" s="6" t="s">
        <v>113</v>
      </c>
      <c r="G334" s="2" t="s">
        <v>29</v>
      </c>
      <c r="H334" s="6" t="s">
        <v>114</v>
      </c>
      <c r="I334" s="2" t="s">
        <v>100</v>
      </c>
      <c r="J334" s="6" t="s">
        <v>447</v>
      </c>
    </row>
    <row r="335" customFormat="false" ht="46.25" hidden="false" customHeight="false" outlineLevel="0" collapsed="false">
      <c r="A335" s="2" t="str">
        <f aca="false">Wheat_Yield_Data!A335</f>
        <v>Rahim Yar Khan</v>
      </c>
      <c r="B335" s="2" t="str">
        <f aca="false">Wheat_Yield_Data!B335</f>
        <v>2017-18</v>
      </c>
      <c r="C335" s="3" t="n">
        <f aca="false">Wheat_Yield_Data!C335</f>
        <v>275180</v>
      </c>
      <c r="D335" s="3" t="n">
        <f aca="false">Wheat_Yield_Data!D335</f>
        <v>817560</v>
      </c>
      <c r="E335" s="4" t="n">
        <f aca="false">Wheat_Yield_Data!E335</f>
        <v>2971</v>
      </c>
      <c r="F335" s="6" t="s">
        <v>116</v>
      </c>
      <c r="G335" s="2" t="s">
        <v>29</v>
      </c>
      <c r="H335" s="6" t="s">
        <v>114</v>
      </c>
      <c r="I335" s="2" t="s">
        <v>100</v>
      </c>
      <c r="J335" s="6" t="s">
        <v>448</v>
      </c>
    </row>
    <row r="336" customFormat="false" ht="46.25" hidden="false" customHeight="false" outlineLevel="0" collapsed="false">
      <c r="A336" s="2" t="str">
        <f aca="false">Wheat_Yield_Data!A336</f>
        <v>Rahim Yar Khan</v>
      </c>
      <c r="B336" s="2" t="str">
        <f aca="false">Wheat_Yield_Data!B336</f>
        <v>2018-19</v>
      </c>
      <c r="C336" s="3" t="n">
        <f aca="false">Wheat_Yield_Data!C336</f>
        <v>322130</v>
      </c>
      <c r="D336" s="3" t="n">
        <f aca="false">Wheat_Yield_Data!D336</f>
        <v>1025440</v>
      </c>
      <c r="E336" s="4" t="n">
        <f aca="false">Wheat_Yield_Data!E336</f>
        <v>3183</v>
      </c>
      <c r="F336" s="6" t="s">
        <v>118</v>
      </c>
      <c r="G336" s="2" t="s">
        <v>34</v>
      </c>
      <c r="H336" s="6" t="s">
        <v>114</v>
      </c>
      <c r="I336" s="2" t="s">
        <v>100</v>
      </c>
      <c r="J336" s="6" t="s">
        <v>449</v>
      </c>
    </row>
    <row r="337" customFormat="false" ht="46.25" hidden="false" customHeight="false" outlineLevel="0" collapsed="false">
      <c r="A337" s="2" t="str">
        <f aca="false">Wheat_Yield_Data!A337</f>
        <v>R.Y. Khan</v>
      </c>
      <c r="B337" s="2" t="str">
        <f aca="false">Wheat_Yield_Data!B337</f>
        <v>2020-21</v>
      </c>
      <c r="C337" s="3" t="n">
        <f aca="false">Wheat_Yield_Data!C337</f>
        <v>296630</v>
      </c>
      <c r="D337" s="3" t="n">
        <f aca="false">Wheat_Yield_Data!D337</f>
        <v>1037050</v>
      </c>
      <c r="E337" s="4" t="n">
        <f aca="false">Wheat_Yield_Data!E337</f>
        <v>3496</v>
      </c>
      <c r="F337" s="6" t="s">
        <v>120</v>
      </c>
      <c r="G337" s="2" t="s">
        <v>37</v>
      </c>
      <c r="H337" s="6" t="s">
        <v>121</v>
      </c>
      <c r="I337" s="2" t="s">
        <v>100</v>
      </c>
      <c r="J337" s="6" t="s">
        <v>450</v>
      </c>
    </row>
    <row r="338" customFormat="false" ht="35.05" hidden="false" customHeight="false" outlineLevel="0" collapsed="false">
      <c r="A338" s="2" t="str">
        <f aca="false">Wheat_Yield_Data!A338</f>
        <v>R.Y. Khan</v>
      </c>
      <c r="B338" s="2" t="str">
        <f aca="false">Wheat_Yield_Data!B338</f>
        <v>2021-22</v>
      </c>
      <c r="C338" s="3" t="n">
        <f aca="false">Wheat_Yield_Data!C338</f>
        <v>277200</v>
      </c>
      <c r="D338" s="3" t="n">
        <f aca="false">Wheat_Yield_Data!D338</f>
        <v>1028050</v>
      </c>
      <c r="E338" s="4" t="n">
        <f aca="false">Wheat_Yield_Data!E338</f>
        <v>3709</v>
      </c>
      <c r="F338" s="6" t="s">
        <v>123</v>
      </c>
      <c r="G338" s="2" t="s">
        <v>37</v>
      </c>
      <c r="H338" s="6" t="s">
        <v>121</v>
      </c>
      <c r="I338" s="2" t="s">
        <v>100</v>
      </c>
      <c r="J338" s="6" t="s">
        <v>451</v>
      </c>
    </row>
    <row r="339" customFormat="false" ht="23.85" hidden="false" customHeight="false" outlineLevel="0" collapsed="false">
      <c r="A339" s="2" t="str">
        <f aca="false">Wheat_Yield_Data!A339</f>
        <v>Rahim Yar Khan</v>
      </c>
      <c r="B339" s="2" t="str">
        <f aca="false">Wheat_Yield_Data!B339</f>
        <v>2022-23</v>
      </c>
      <c r="C339" s="3" t="n">
        <f aca="false">Wheat_Yield_Data!C339</f>
        <v>289300</v>
      </c>
      <c r="D339" s="3" t="n">
        <f aca="false">Wheat_Yield_Data!D339</f>
        <v>1093700</v>
      </c>
      <c r="E339" s="4" t="n">
        <f aca="false">Wheat_Yield_Data!E339</f>
        <v>3780</v>
      </c>
      <c r="F339" s="6" t="s">
        <v>125</v>
      </c>
      <c r="G339" s="2" t="s">
        <v>43</v>
      </c>
      <c r="H339" s="6" t="s">
        <v>126</v>
      </c>
      <c r="I339" s="2" t="s">
        <v>100</v>
      </c>
      <c r="J339" s="6" t="s">
        <v>452</v>
      </c>
    </row>
    <row r="340" customFormat="false" ht="35.05" hidden="false" customHeight="false" outlineLevel="0" collapsed="false">
      <c r="A340" s="2" t="str">
        <f aca="false">Wheat_Yield_Data!A340</f>
        <v>Rajan Pur</v>
      </c>
      <c r="B340" s="2" t="str">
        <f aca="false">Wheat_Yield_Data!B340</f>
        <v>2010-11</v>
      </c>
      <c r="C340" s="3" t="n">
        <f aca="false">Wheat_Yield_Data!C340</f>
        <v>174820</v>
      </c>
      <c r="D340" s="3" t="n">
        <f aca="false">Wheat_Yield_Data!D340</f>
        <v>478400</v>
      </c>
      <c r="E340" s="4" t="n">
        <f aca="false">Wheat_Yield_Data!E340</f>
        <v>2737</v>
      </c>
      <c r="F340" s="6" t="s">
        <v>98</v>
      </c>
      <c r="G340" s="2" t="s">
        <v>11</v>
      </c>
      <c r="H340" s="6" t="s">
        <v>99</v>
      </c>
      <c r="I340" s="2" t="s">
        <v>100</v>
      </c>
      <c r="J340" s="6" t="s">
        <v>453</v>
      </c>
    </row>
    <row r="341" customFormat="false" ht="35.05" hidden="false" customHeight="false" outlineLevel="0" collapsed="false">
      <c r="A341" s="2" t="str">
        <f aca="false">Wheat_Yield_Data!A341</f>
        <v>Rajan Pur</v>
      </c>
      <c r="B341" s="2" t="str">
        <f aca="false">Wheat_Yield_Data!B341</f>
        <v>2011-12</v>
      </c>
      <c r="C341" s="3" t="n">
        <f aca="false">Wheat_Yield_Data!C341</f>
        <v>159440</v>
      </c>
      <c r="D341" s="3" t="n">
        <f aca="false">Wheat_Yield_Data!D341</f>
        <v>376760</v>
      </c>
      <c r="E341" s="4" t="n">
        <f aca="false">Wheat_Yield_Data!E341</f>
        <v>2363</v>
      </c>
      <c r="F341" s="6" t="s">
        <v>102</v>
      </c>
      <c r="G341" s="2" t="s">
        <v>11</v>
      </c>
      <c r="H341" s="6" t="s">
        <v>99</v>
      </c>
      <c r="I341" s="2" t="s">
        <v>100</v>
      </c>
      <c r="J341" s="6" t="s">
        <v>454</v>
      </c>
    </row>
    <row r="342" customFormat="false" ht="46.25" hidden="false" customHeight="false" outlineLevel="0" collapsed="false">
      <c r="A342" s="2" t="str">
        <f aca="false">Wheat_Yield_Data!A342</f>
        <v>Rajan Pur</v>
      </c>
      <c r="B342" s="2" t="str">
        <f aca="false">Wheat_Yield_Data!B342</f>
        <v>2012-13</v>
      </c>
      <c r="C342" s="3" t="n">
        <f aca="false">Wheat_Yield_Data!C342</f>
        <v>165920</v>
      </c>
      <c r="D342" s="3" t="n">
        <f aca="false">Wheat_Yield_Data!D342</f>
        <v>430210</v>
      </c>
      <c r="E342" s="4" t="n">
        <f aca="false">Wheat_Yield_Data!E342</f>
        <v>2593</v>
      </c>
      <c r="F342" s="6" t="s">
        <v>104</v>
      </c>
      <c r="G342" s="2" t="s">
        <v>18</v>
      </c>
      <c r="H342" s="6" t="s">
        <v>99</v>
      </c>
      <c r="I342" s="2" t="s">
        <v>100</v>
      </c>
      <c r="J342" s="6" t="s">
        <v>455</v>
      </c>
    </row>
    <row r="343" customFormat="false" ht="35.05" hidden="false" customHeight="false" outlineLevel="0" collapsed="false">
      <c r="A343" s="2" t="str">
        <f aca="false">Wheat_Yield_Data!A343</f>
        <v>Rajan Pur</v>
      </c>
      <c r="B343" s="2" t="str">
        <f aca="false">Wheat_Yield_Data!B343</f>
        <v>2013-14</v>
      </c>
      <c r="C343" s="3" t="n">
        <f aca="false">Wheat_Yield_Data!C343</f>
        <v>176840</v>
      </c>
      <c r="D343" s="3" t="n">
        <f aca="false">Wheat_Yield_Data!D343</f>
        <v>461230</v>
      </c>
      <c r="E343" s="4" t="n">
        <f aca="false">Wheat_Yield_Data!E343</f>
        <v>2608</v>
      </c>
      <c r="F343" s="6" t="s">
        <v>106</v>
      </c>
      <c r="G343" s="2" t="s">
        <v>18</v>
      </c>
      <c r="H343" s="6" t="s">
        <v>99</v>
      </c>
      <c r="I343" s="2" t="s">
        <v>100</v>
      </c>
      <c r="J343" s="6" t="s">
        <v>456</v>
      </c>
    </row>
    <row r="344" customFormat="false" ht="35.05" hidden="false" customHeight="false" outlineLevel="0" collapsed="false">
      <c r="A344" s="2" t="str">
        <f aca="false">Wheat_Yield_Data!A344</f>
        <v>Rajan Pur</v>
      </c>
      <c r="B344" s="2" t="str">
        <f aca="false">Wheat_Yield_Data!B344</f>
        <v>2014-15</v>
      </c>
      <c r="C344" s="3" t="n">
        <f aca="false">Wheat_Yield_Data!C344</f>
        <v>175220</v>
      </c>
      <c r="D344" s="3" t="n">
        <f aca="false">Wheat_Yield_Data!D344</f>
        <v>495060</v>
      </c>
      <c r="E344" s="4" t="n">
        <f aca="false">Wheat_Yield_Data!E344</f>
        <v>2825</v>
      </c>
      <c r="F344" s="6" t="s">
        <v>108</v>
      </c>
      <c r="G344" s="2" t="s">
        <v>23</v>
      </c>
      <c r="H344" s="6" t="s">
        <v>99</v>
      </c>
      <c r="I344" s="2" t="s">
        <v>100</v>
      </c>
      <c r="J344" s="6" t="s">
        <v>457</v>
      </c>
    </row>
    <row r="345" customFormat="false" ht="46.25" hidden="false" customHeight="false" outlineLevel="0" collapsed="false">
      <c r="A345" s="2" t="str">
        <f aca="false">Wheat_Yield_Data!A345</f>
        <v>Rajan Pur</v>
      </c>
      <c r="B345" s="2" t="str">
        <f aca="false">Wheat_Yield_Data!B345</f>
        <v>2015-16</v>
      </c>
      <c r="C345" s="3" t="n">
        <f aca="false">Wheat_Yield_Data!C345</f>
        <v>173600</v>
      </c>
      <c r="D345" s="3" t="n">
        <f aca="false">Wheat_Yield_Data!D345</f>
        <v>534460</v>
      </c>
      <c r="E345" s="5" t="n">
        <f aca="false">Wheat_Yield_Data!E345</f>
        <v>3078.6866359447</v>
      </c>
      <c r="F345" s="6" t="s">
        <v>110</v>
      </c>
      <c r="G345" s="2" t="s">
        <v>23</v>
      </c>
      <c r="H345" s="6" t="s">
        <v>99</v>
      </c>
      <c r="I345" s="2" t="s">
        <v>111</v>
      </c>
      <c r="J345" s="6" t="s">
        <v>458</v>
      </c>
    </row>
    <row r="346" customFormat="false" ht="46.25" hidden="false" customHeight="false" outlineLevel="0" collapsed="false">
      <c r="A346" s="2" t="str">
        <f aca="false">Wheat_Yield_Data!A346</f>
        <v>Rajan Pur</v>
      </c>
      <c r="B346" s="2" t="str">
        <f aca="false">Wheat_Yield_Data!B346</f>
        <v>2016-17</v>
      </c>
      <c r="C346" s="3" t="n">
        <f aca="false">Wheat_Yield_Data!C346</f>
        <v>175230</v>
      </c>
      <c r="D346" s="3" t="n">
        <f aca="false">Wheat_Yield_Data!D346</f>
        <v>595030</v>
      </c>
      <c r="E346" s="4" t="n">
        <f aca="false">Wheat_Yield_Data!E346</f>
        <v>3396</v>
      </c>
      <c r="F346" s="6" t="s">
        <v>113</v>
      </c>
      <c r="G346" s="2" t="s">
        <v>29</v>
      </c>
      <c r="H346" s="6" t="s">
        <v>114</v>
      </c>
      <c r="I346" s="2" t="s">
        <v>100</v>
      </c>
      <c r="J346" s="6" t="s">
        <v>459</v>
      </c>
    </row>
    <row r="347" customFormat="false" ht="46.25" hidden="false" customHeight="false" outlineLevel="0" collapsed="false">
      <c r="A347" s="2" t="str">
        <f aca="false">Wheat_Yield_Data!A347</f>
        <v>Rajan Pur</v>
      </c>
      <c r="B347" s="2" t="str">
        <f aca="false">Wheat_Yield_Data!B347</f>
        <v>2017-18</v>
      </c>
      <c r="C347" s="3" t="n">
        <f aca="false">Wheat_Yield_Data!C347</f>
        <v>178870</v>
      </c>
      <c r="D347" s="3" t="n">
        <f aca="false">Wheat_Yield_Data!D347</f>
        <v>541300</v>
      </c>
      <c r="E347" s="4" t="n">
        <f aca="false">Wheat_Yield_Data!E347</f>
        <v>3026</v>
      </c>
      <c r="F347" s="6" t="s">
        <v>116</v>
      </c>
      <c r="G347" s="2" t="s">
        <v>29</v>
      </c>
      <c r="H347" s="6" t="s">
        <v>114</v>
      </c>
      <c r="I347" s="2" t="s">
        <v>100</v>
      </c>
      <c r="J347" s="6" t="s">
        <v>460</v>
      </c>
    </row>
    <row r="348" customFormat="false" ht="46.25" hidden="false" customHeight="false" outlineLevel="0" collapsed="false">
      <c r="A348" s="2" t="str">
        <f aca="false">Wheat_Yield_Data!A348</f>
        <v>Rajan Pur</v>
      </c>
      <c r="B348" s="2" t="str">
        <f aca="false">Wheat_Yield_Data!B348</f>
        <v>2018-19</v>
      </c>
      <c r="C348" s="3" t="n">
        <f aca="false">Wheat_Yield_Data!C348</f>
        <v>184530</v>
      </c>
      <c r="D348" s="3" t="n">
        <f aca="false">Wheat_Yield_Data!D348</f>
        <v>559920</v>
      </c>
      <c r="E348" s="4" t="n">
        <f aca="false">Wheat_Yield_Data!E348</f>
        <v>3034</v>
      </c>
      <c r="F348" s="6" t="s">
        <v>118</v>
      </c>
      <c r="G348" s="2" t="s">
        <v>34</v>
      </c>
      <c r="H348" s="6" t="s">
        <v>114</v>
      </c>
      <c r="I348" s="2" t="s">
        <v>100</v>
      </c>
      <c r="J348" s="6" t="s">
        <v>461</v>
      </c>
    </row>
    <row r="349" customFormat="false" ht="35.05" hidden="false" customHeight="false" outlineLevel="0" collapsed="false">
      <c r="A349" s="2" t="str">
        <f aca="false">Wheat_Yield_Data!A349</f>
        <v>Rajan Pur</v>
      </c>
      <c r="B349" s="2" t="str">
        <f aca="false">Wheat_Yield_Data!B349</f>
        <v>2020-21</v>
      </c>
      <c r="C349" s="3" t="n">
        <f aca="false">Wheat_Yield_Data!C349</f>
        <v>200720</v>
      </c>
      <c r="D349" s="3" t="n">
        <f aca="false">Wheat_Yield_Data!D349</f>
        <v>682530</v>
      </c>
      <c r="E349" s="4" t="n">
        <f aca="false">Wheat_Yield_Data!E349</f>
        <v>3401</v>
      </c>
      <c r="F349" s="6" t="s">
        <v>120</v>
      </c>
      <c r="G349" s="2" t="s">
        <v>37</v>
      </c>
      <c r="H349" s="6" t="s">
        <v>121</v>
      </c>
      <c r="I349" s="2" t="s">
        <v>100</v>
      </c>
      <c r="J349" s="6" t="s">
        <v>462</v>
      </c>
    </row>
    <row r="350" customFormat="false" ht="35.05" hidden="false" customHeight="false" outlineLevel="0" collapsed="false">
      <c r="A350" s="2" t="str">
        <f aca="false">Wheat_Yield_Data!A350</f>
        <v>Rajan Pur</v>
      </c>
      <c r="B350" s="2" t="str">
        <f aca="false">Wheat_Yield_Data!B350</f>
        <v>2021-22</v>
      </c>
      <c r="C350" s="3" t="n">
        <f aca="false">Wheat_Yield_Data!C350</f>
        <v>193840</v>
      </c>
      <c r="D350" s="3" t="n">
        <f aca="false">Wheat_Yield_Data!D350</f>
        <v>672210</v>
      </c>
      <c r="E350" s="4" t="n">
        <f aca="false">Wheat_Yield_Data!E350</f>
        <v>3468</v>
      </c>
      <c r="F350" s="6" t="s">
        <v>123</v>
      </c>
      <c r="G350" s="2" t="s">
        <v>37</v>
      </c>
      <c r="H350" s="6" t="s">
        <v>121</v>
      </c>
      <c r="I350" s="2" t="s">
        <v>100</v>
      </c>
      <c r="J350" s="6" t="s">
        <v>463</v>
      </c>
    </row>
    <row r="351" customFormat="false" ht="23.85" hidden="false" customHeight="false" outlineLevel="0" collapsed="false">
      <c r="A351" s="2" t="str">
        <f aca="false">Wheat_Yield_Data!A351</f>
        <v>Rajan Pur</v>
      </c>
      <c r="B351" s="2" t="str">
        <f aca="false">Wheat_Yield_Data!B351</f>
        <v>2022-23</v>
      </c>
      <c r="C351" s="3" t="n">
        <f aca="false">Wheat_Yield_Data!C351</f>
        <v>185300</v>
      </c>
      <c r="D351" s="3" t="n">
        <f aca="false">Wheat_Yield_Data!D351</f>
        <v>649100</v>
      </c>
      <c r="E351" s="4" t="n">
        <f aca="false">Wheat_Yield_Data!E351</f>
        <v>3503</v>
      </c>
      <c r="F351" s="6" t="s">
        <v>125</v>
      </c>
      <c r="G351" s="2" t="s">
        <v>43</v>
      </c>
      <c r="H351" s="6" t="s">
        <v>126</v>
      </c>
      <c r="I351" s="2" t="s">
        <v>100</v>
      </c>
      <c r="J351" s="6" t="s">
        <v>464</v>
      </c>
    </row>
    <row r="352" customFormat="false" ht="35.05" hidden="false" customHeight="false" outlineLevel="0" collapsed="false">
      <c r="A352" s="2" t="str">
        <f aca="false">Wheat_Yield_Data!A352</f>
        <v>Rawalpindi</v>
      </c>
      <c r="B352" s="2" t="str">
        <f aca="false">Wheat_Yield_Data!B352</f>
        <v>2010-11</v>
      </c>
      <c r="C352" s="3" t="n">
        <f aca="false">Wheat_Yield_Data!C352</f>
        <v>114930</v>
      </c>
      <c r="D352" s="3" t="n">
        <f aca="false">Wheat_Yield_Data!D352</f>
        <v>158060</v>
      </c>
      <c r="E352" s="4" t="n">
        <f aca="false">Wheat_Yield_Data!E352</f>
        <v>1375</v>
      </c>
      <c r="F352" s="6" t="s">
        <v>98</v>
      </c>
      <c r="G352" s="2" t="s">
        <v>11</v>
      </c>
      <c r="H352" s="6" t="s">
        <v>99</v>
      </c>
      <c r="I352" s="2" t="s">
        <v>100</v>
      </c>
      <c r="J352" s="6" t="s">
        <v>465</v>
      </c>
    </row>
    <row r="353" customFormat="false" ht="35.05" hidden="false" customHeight="false" outlineLevel="0" collapsed="false">
      <c r="A353" s="2" t="str">
        <f aca="false">Wheat_Yield_Data!A353</f>
        <v>Rawalpindi</v>
      </c>
      <c r="B353" s="2" t="str">
        <f aca="false">Wheat_Yield_Data!B353</f>
        <v>2011-12</v>
      </c>
      <c r="C353" s="3" t="n">
        <f aca="false">Wheat_Yield_Data!C353</f>
        <v>116550</v>
      </c>
      <c r="D353" s="3" t="n">
        <f aca="false">Wheat_Yield_Data!D353</f>
        <v>143740</v>
      </c>
      <c r="E353" s="4" t="n">
        <f aca="false">Wheat_Yield_Data!E353</f>
        <v>1233</v>
      </c>
      <c r="F353" s="6" t="s">
        <v>102</v>
      </c>
      <c r="G353" s="2" t="s">
        <v>11</v>
      </c>
      <c r="H353" s="6" t="s">
        <v>99</v>
      </c>
      <c r="I353" s="2" t="s">
        <v>100</v>
      </c>
      <c r="J353" s="6" t="s">
        <v>466</v>
      </c>
    </row>
    <row r="354" customFormat="false" ht="46.25" hidden="false" customHeight="false" outlineLevel="0" collapsed="false">
      <c r="A354" s="2" t="str">
        <f aca="false">Wheat_Yield_Data!A354</f>
        <v>Rawalpindi</v>
      </c>
      <c r="B354" s="2" t="str">
        <f aca="false">Wheat_Yield_Data!B354</f>
        <v>2012-13</v>
      </c>
      <c r="C354" s="3" t="n">
        <f aca="false">Wheat_Yield_Data!C354</f>
        <v>115740</v>
      </c>
      <c r="D354" s="3" t="n">
        <f aca="false">Wheat_Yield_Data!D354</f>
        <v>211310</v>
      </c>
      <c r="E354" s="4" t="n">
        <f aca="false">Wheat_Yield_Data!E354</f>
        <v>1826</v>
      </c>
      <c r="F354" s="6" t="s">
        <v>104</v>
      </c>
      <c r="G354" s="2" t="s">
        <v>18</v>
      </c>
      <c r="H354" s="6" t="s">
        <v>99</v>
      </c>
      <c r="I354" s="2" t="s">
        <v>100</v>
      </c>
      <c r="J354" s="6" t="s">
        <v>467</v>
      </c>
    </row>
    <row r="355" customFormat="false" ht="35.05" hidden="false" customHeight="false" outlineLevel="0" collapsed="false">
      <c r="A355" s="2" t="str">
        <f aca="false">Wheat_Yield_Data!A355</f>
        <v>Rawalpindi</v>
      </c>
      <c r="B355" s="2" t="str">
        <f aca="false">Wheat_Yield_Data!B355</f>
        <v>2013-14</v>
      </c>
      <c r="C355" s="3" t="n">
        <f aca="false">Wheat_Yield_Data!C355</f>
        <v>117360</v>
      </c>
      <c r="D355" s="3" t="n">
        <f aca="false">Wheat_Yield_Data!D355</f>
        <v>164600</v>
      </c>
      <c r="E355" s="4" t="n">
        <f aca="false">Wheat_Yield_Data!E355</f>
        <v>1403</v>
      </c>
      <c r="F355" s="6" t="s">
        <v>106</v>
      </c>
      <c r="G355" s="2" t="s">
        <v>18</v>
      </c>
      <c r="H355" s="6" t="s">
        <v>99</v>
      </c>
      <c r="I355" s="2" t="s">
        <v>100</v>
      </c>
      <c r="J355" s="6" t="s">
        <v>468</v>
      </c>
    </row>
    <row r="356" customFormat="false" ht="35.05" hidden="false" customHeight="false" outlineLevel="0" collapsed="false">
      <c r="A356" s="2" t="str">
        <f aca="false">Wheat_Yield_Data!A356</f>
        <v>Rawalpindi</v>
      </c>
      <c r="B356" s="2" t="str">
        <f aca="false">Wheat_Yield_Data!B356</f>
        <v>2014-15</v>
      </c>
      <c r="C356" s="3" t="n">
        <f aca="false">Wheat_Yield_Data!C356</f>
        <v>110880</v>
      </c>
      <c r="D356" s="3" t="n">
        <f aca="false">Wheat_Yield_Data!D356</f>
        <v>178960</v>
      </c>
      <c r="E356" s="4" t="n">
        <f aca="false">Wheat_Yield_Data!E356</f>
        <v>1614</v>
      </c>
      <c r="F356" s="6" t="s">
        <v>108</v>
      </c>
      <c r="G356" s="2" t="s">
        <v>23</v>
      </c>
      <c r="H356" s="6" t="s">
        <v>99</v>
      </c>
      <c r="I356" s="2" t="s">
        <v>100</v>
      </c>
      <c r="J356" s="6" t="s">
        <v>469</v>
      </c>
    </row>
    <row r="357" customFormat="false" ht="35.05" hidden="false" customHeight="false" outlineLevel="0" collapsed="false">
      <c r="A357" s="2" t="str">
        <f aca="false">Wheat_Yield_Data!A357</f>
        <v>Rawalpindi</v>
      </c>
      <c r="B357" s="2" t="str">
        <f aca="false">Wheat_Yield_Data!B357</f>
        <v>2015-16</v>
      </c>
      <c r="C357" s="3" t="n">
        <f aca="false">Wheat_Yield_Data!C357</f>
        <v>110070</v>
      </c>
      <c r="D357" s="3" t="n">
        <f aca="false">Wheat_Yield_Data!D357</f>
        <v>183820</v>
      </c>
      <c r="E357" s="4" t="n">
        <f aca="false">Wheat_Yield_Data!E357</f>
        <v>1671</v>
      </c>
      <c r="F357" s="6" t="s">
        <v>110</v>
      </c>
      <c r="G357" s="2" t="s">
        <v>23</v>
      </c>
      <c r="H357" s="6" t="s">
        <v>99</v>
      </c>
      <c r="I357" s="2" t="s">
        <v>100</v>
      </c>
      <c r="J357" s="6" t="s">
        <v>470</v>
      </c>
    </row>
    <row r="358" customFormat="false" ht="46.25" hidden="false" customHeight="false" outlineLevel="0" collapsed="false">
      <c r="A358" s="2" t="str">
        <f aca="false">Wheat_Yield_Data!A358</f>
        <v>Rawalpindi</v>
      </c>
      <c r="B358" s="2" t="str">
        <f aca="false">Wheat_Yield_Data!B358</f>
        <v>2016-17</v>
      </c>
      <c r="C358" s="3" t="n">
        <f aca="false">Wheat_Yield_Data!C358</f>
        <v>97130</v>
      </c>
      <c r="D358" s="3" t="n">
        <f aca="false">Wheat_Yield_Data!D358</f>
        <v>119580</v>
      </c>
      <c r="E358" s="4" t="n">
        <f aca="false">Wheat_Yield_Data!E358</f>
        <v>1231</v>
      </c>
      <c r="F358" s="6" t="s">
        <v>113</v>
      </c>
      <c r="G358" s="2" t="s">
        <v>29</v>
      </c>
      <c r="H358" s="6" t="s">
        <v>114</v>
      </c>
      <c r="I358" s="2" t="s">
        <v>100</v>
      </c>
      <c r="J358" s="6" t="s">
        <v>471</v>
      </c>
    </row>
    <row r="359" customFormat="false" ht="46.25" hidden="false" customHeight="false" outlineLevel="0" collapsed="false">
      <c r="A359" s="2" t="str">
        <f aca="false">Wheat_Yield_Data!A359</f>
        <v>Rawalpindi</v>
      </c>
      <c r="B359" s="2" t="str">
        <f aca="false">Wheat_Yield_Data!B359</f>
        <v>2017-18</v>
      </c>
      <c r="C359" s="3" t="n">
        <f aca="false">Wheat_Yield_Data!C359</f>
        <v>104000</v>
      </c>
      <c r="D359" s="3" t="n">
        <f aca="false">Wheat_Yield_Data!D359</f>
        <v>155860</v>
      </c>
      <c r="E359" s="4" t="n">
        <f aca="false">Wheat_Yield_Data!E359</f>
        <v>1499</v>
      </c>
      <c r="F359" s="6" t="s">
        <v>116</v>
      </c>
      <c r="G359" s="2" t="s">
        <v>29</v>
      </c>
      <c r="H359" s="6" t="s">
        <v>114</v>
      </c>
      <c r="I359" s="2" t="s">
        <v>100</v>
      </c>
      <c r="J359" s="6" t="s">
        <v>472</v>
      </c>
    </row>
    <row r="360" customFormat="false" ht="46.25" hidden="false" customHeight="false" outlineLevel="0" collapsed="false">
      <c r="A360" s="2" t="str">
        <f aca="false">Wheat_Yield_Data!A360</f>
        <v>Rawalpindi</v>
      </c>
      <c r="B360" s="2" t="str">
        <f aca="false">Wheat_Yield_Data!B360</f>
        <v>2018-19</v>
      </c>
      <c r="C360" s="3" t="n">
        <f aca="false">Wheat_Yield_Data!C360</f>
        <v>103600</v>
      </c>
      <c r="D360" s="3" t="n">
        <f aca="false">Wheat_Yield_Data!D360</f>
        <v>161490</v>
      </c>
      <c r="E360" s="4" t="n">
        <f aca="false">Wheat_Yield_Data!E360</f>
        <v>1559</v>
      </c>
      <c r="F360" s="6" t="s">
        <v>118</v>
      </c>
      <c r="G360" s="2" t="s">
        <v>34</v>
      </c>
      <c r="H360" s="6" t="s">
        <v>114</v>
      </c>
      <c r="I360" s="2" t="s">
        <v>100</v>
      </c>
      <c r="J360" s="6" t="s">
        <v>473</v>
      </c>
    </row>
    <row r="361" customFormat="false" ht="35.05" hidden="false" customHeight="false" outlineLevel="0" collapsed="false">
      <c r="A361" s="2" t="str">
        <f aca="false">Wheat_Yield_Data!A361</f>
        <v>Rawalpindi</v>
      </c>
      <c r="B361" s="2" t="str">
        <f aca="false">Wheat_Yield_Data!B361</f>
        <v>2020-21</v>
      </c>
      <c r="C361" s="3" t="n">
        <f aca="false">Wheat_Yield_Data!C361</f>
        <v>154990</v>
      </c>
      <c r="D361" s="3" t="n">
        <f aca="false">Wheat_Yield_Data!D361</f>
        <v>256480</v>
      </c>
      <c r="E361" s="4" t="n">
        <f aca="false">Wheat_Yield_Data!E361</f>
        <v>1655</v>
      </c>
      <c r="F361" s="6" t="s">
        <v>120</v>
      </c>
      <c r="G361" s="2" t="s">
        <v>37</v>
      </c>
      <c r="H361" s="6" t="s">
        <v>121</v>
      </c>
      <c r="I361" s="2" t="s">
        <v>100</v>
      </c>
      <c r="J361" s="6" t="s">
        <v>474</v>
      </c>
    </row>
    <row r="362" customFormat="false" ht="35.05" hidden="false" customHeight="false" outlineLevel="0" collapsed="false">
      <c r="A362" s="2" t="str">
        <f aca="false">Wheat_Yield_Data!A362</f>
        <v>Rawalpindi</v>
      </c>
      <c r="B362" s="2" t="str">
        <f aca="false">Wheat_Yield_Data!B362</f>
        <v>2021-22</v>
      </c>
      <c r="C362" s="3" t="n">
        <f aca="false">Wheat_Yield_Data!C362</f>
        <v>159850</v>
      </c>
      <c r="D362" s="3" t="n">
        <f aca="false">Wheat_Yield_Data!D362</f>
        <v>311160</v>
      </c>
      <c r="E362" s="4" t="n">
        <f aca="false">Wheat_Yield_Data!E362</f>
        <v>1946</v>
      </c>
      <c r="F362" s="6" t="s">
        <v>123</v>
      </c>
      <c r="G362" s="2" t="s">
        <v>37</v>
      </c>
      <c r="H362" s="6" t="s">
        <v>121</v>
      </c>
      <c r="I362" s="2" t="s">
        <v>100</v>
      </c>
      <c r="J362" s="6" t="s">
        <v>475</v>
      </c>
    </row>
    <row r="363" customFormat="false" ht="35.05" hidden="false" customHeight="false" outlineLevel="0" collapsed="false">
      <c r="A363" s="2" t="str">
        <f aca="false">Wheat_Yield_Data!A363</f>
        <v>Rawalpindi</v>
      </c>
      <c r="B363" s="2" t="str">
        <f aca="false">Wheat_Yield_Data!B363</f>
        <v>2022-23</v>
      </c>
      <c r="C363" s="3" t="n">
        <f aca="false">Wheat_Yield_Data!C363</f>
        <v>162700</v>
      </c>
      <c r="D363" s="3" t="n">
        <f aca="false">Wheat_Yield_Data!D363</f>
        <v>340600</v>
      </c>
      <c r="E363" s="4" t="n">
        <f aca="false">Wheat_Yield_Data!E363</f>
        <v>2094</v>
      </c>
      <c r="F363" s="6" t="s">
        <v>125</v>
      </c>
      <c r="G363" s="2" t="s">
        <v>43</v>
      </c>
      <c r="H363" s="6" t="s">
        <v>126</v>
      </c>
      <c r="I363" s="2" t="s">
        <v>100</v>
      </c>
      <c r="J363" s="6" t="s">
        <v>476</v>
      </c>
    </row>
    <row r="364" customFormat="false" ht="35.05" hidden="false" customHeight="false" outlineLevel="0" collapsed="false">
      <c r="A364" s="2" t="str">
        <f aca="false">Wheat_Yield_Data!A364</f>
        <v>Sahiwal</v>
      </c>
      <c r="B364" s="2" t="str">
        <f aca="false">Wheat_Yield_Data!B364</f>
        <v>2010-11</v>
      </c>
      <c r="C364" s="3" t="n">
        <f aca="false">Wheat_Yield_Data!C364</f>
        <v>139620</v>
      </c>
      <c r="D364" s="3" t="n">
        <f aca="false">Wheat_Yield_Data!D364</f>
        <v>453140</v>
      </c>
      <c r="E364" s="4" t="n">
        <f aca="false">Wheat_Yield_Data!E364</f>
        <v>3246</v>
      </c>
      <c r="F364" s="6" t="s">
        <v>98</v>
      </c>
      <c r="G364" s="2" t="s">
        <v>11</v>
      </c>
      <c r="H364" s="6" t="s">
        <v>99</v>
      </c>
      <c r="I364" s="2" t="s">
        <v>100</v>
      </c>
      <c r="J364" s="6" t="s">
        <v>477</v>
      </c>
    </row>
    <row r="365" customFormat="false" ht="35.05" hidden="false" customHeight="false" outlineLevel="0" collapsed="false">
      <c r="A365" s="2" t="str">
        <f aca="false">Wheat_Yield_Data!A365</f>
        <v>Sahiwal</v>
      </c>
      <c r="B365" s="2" t="str">
        <f aca="false">Wheat_Yield_Data!B365</f>
        <v>2011-12</v>
      </c>
      <c r="C365" s="3" t="n">
        <f aca="false">Wheat_Yield_Data!C365</f>
        <v>133550</v>
      </c>
      <c r="D365" s="3" t="n">
        <f aca="false">Wheat_Yield_Data!D365</f>
        <v>415210</v>
      </c>
      <c r="E365" s="4" t="n">
        <f aca="false">Wheat_Yield_Data!E365</f>
        <v>3109</v>
      </c>
      <c r="F365" s="6" t="s">
        <v>102</v>
      </c>
      <c r="G365" s="2" t="s">
        <v>11</v>
      </c>
      <c r="H365" s="6" t="s">
        <v>99</v>
      </c>
      <c r="I365" s="2" t="s">
        <v>100</v>
      </c>
      <c r="J365" s="6" t="s">
        <v>478</v>
      </c>
    </row>
    <row r="366" customFormat="false" ht="46.25" hidden="false" customHeight="false" outlineLevel="0" collapsed="false">
      <c r="A366" s="2" t="str">
        <f aca="false">Wheat_Yield_Data!A366</f>
        <v>Sahiwal</v>
      </c>
      <c r="B366" s="2" t="str">
        <f aca="false">Wheat_Yield_Data!B366</f>
        <v>2012-13</v>
      </c>
      <c r="C366" s="3" t="n">
        <f aca="false">Wheat_Yield_Data!C366</f>
        <v>135160</v>
      </c>
      <c r="D366" s="3" t="n">
        <f aca="false">Wheat_Yield_Data!D366</f>
        <v>422110</v>
      </c>
      <c r="E366" s="4" t="n">
        <f aca="false">Wheat_Yield_Data!E366</f>
        <v>3123</v>
      </c>
      <c r="F366" s="6" t="s">
        <v>104</v>
      </c>
      <c r="G366" s="2" t="s">
        <v>18</v>
      </c>
      <c r="H366" s="6" t="s">
        <v>99</v>
      </c>
      <c r="I366" s="2" t="s">
        <v>100</v>
      </c>
      <c r="J366" s="6" t="s">
        <v>479</v>
      </c>
    </row>
    <row r="367" customFormat="false" ht="35.05" hidden="false" customHeight="false" outlineLevel="0" collapsed="false">
      <c r="A367" s="2" t="str">
        <f aca="false">Wheat_Yield_Data!A367</f>
        <v>Sahiwal</v>
      </c>
      <c r="B367" s="2" t="str">
        <f aca="false">Wheat_Yield_Data!B367</f>
        <v>2013-14</v>
      </c>
      <c r="C367" s="3" t="n">
        <f aca="false">Wheat_Yield_Data!C367</f>
        <v>144880</v>
      </c>
      <c r="D367" s="3" t="n">
        <f aca="false">Wheat_Yield_Data!D367</f>
        <v>463670</v>
      </c>
      <c r="E367" s="4" t="n">
        <f aca="false">Wheat_Yield_Data!E367</f>
        <v>3200</v>
      </c>
      <c r="F367" s="6" t="s">
        <v>106</v>
      </c>
      <c r="G367" s="2" t="s">
        <v>18</v>
      </c>
      <c r="H367" s="6" t="s">
        <v>99</v>
      </c>
      <c r="I367" s="2" t="s">
        <v>100</v>
      </c>
      <c r="J367" s="6" t="s">
        <v>480</v>
      </c>
    </row>
    <row r="368" customFormat="false" ht="35.05" hidden="false" customHeight="false" outlineLevel="0" collapsed="false">
      <c r="A368" s="2" t="str">
        <f aca="false">Wheat_Yield_Data!A368</f>
        <v>Sahiwal</v>
      </c>
      <c r="B368" s="2" t="str">
        <f aca="false">Wheat_Yield_Data!B368</f>
        <v>2014-15</v>
      </c>
      <c r="C368" s="3" t="n">
        <f aca="false">Wheat_Yield_Data!C368</f>
        <v>151760</v>
      </c>
      <c r="D368" s="3" t="n">
        <f aca="false">Wheat_Yield_Data!D368</f>
        <v>462310</v>
      </c>
      <c r="E368" s="4" t="n">
        <f aca="false">Wheat_Yield_Data!E368</f>
        <v>3046</v>
      </c>
      <c r="F368" s="6" t="s">
        <v>108</v>
      </c>
      <c r="G368" s="2" t="s">
        <v>23</v>
      </c>
      <c r="H368" s="6" t="s">
        <v>99</v>
      </c>
      <c r="I368" s="2" t="s">
        <v>100</v>
      </c>
      <c r="J368" s="6" t="s">
        <v>481</v>
      </c>
    </row>
    <row r="369" customFormat="false" ht="35.05" hidden="false" customHeight="false" outlineLevel="0" collapsed="false">
      <c r="A369" s="2" t="str">
        <f aca="false">Wheat_Yield_Data!A369</f>
        <v>Sahiwal</v>
      </c>
      <c r="B369" s="2" t="str">
        <f aca="false">Wheat_Yield_Data!B369</f>
        <v>2015-16</v>
      </c>
      <c r="C369" s="3" t="n">
        <f aca="false">Wheat_Yield_Data!C369</f>
        <v>156610</v>
      </c>
      <c r="D369" s="3" t="n">
        <f aca="false">Wheat_Yield_Data!D369</f>
        <v>490970</v>
      </c>
      <c r="E369" s="4" t="n">
        <f aca="false">Wheat_Yield_Data!E369</f>
        <v>3135</v>
      </c>
      <c r="F369" s="6" t="s">
        <v>110</v>
      </c>
      <c r="G369" s="2" t="s">
        <v>23</v>
      </c>
      <c r="H369" s="6" t="s">
        <v>99</v>
      </c>
      <c r="I369" s="2" t="s">
        <v>100</v>
      </c>
      <c r="J369" s="6" t="s">
        <v>482</v>
      </c>
    </row>
    <row r="370" customFormat="false" ht="46.25" hidden="false" customHeight="false" outlineLevel="0" collapsed="false">
      <c r="A370" s="2" t="str">
        <f aca="false">Wheat_Yield_Data!A370</f>
        <v>Sahiwal</v>
      </c>
      <c r="B370" s="2" t="str">
        <f aca="false">Wheat_Yield_Data!B370</f>
        <v>2016-17</v>
      </c>
      <c r="C370" s="3" t="n">
        <f aca="false">Wheat_Yield_Data!C370</f>
        <v>142450</v>
      </c>
      <c r="D370" s="3" t="n">
        <f aca="false">Wheat_Yield_Data!D370</f>
        <v>504510</v>
      </c>
      <c r="E370" s="4" t="n">
        <f aca="false">Wheat_Yield_Data!E370</f>
        <v>3542</v>
      </c>
      <c r="F370" s="6" t="s">
        <v>113</v>
      </c>
      <c r="G370" s="2" t="s">
        <v>29</v>
      </c>
      <c r="H370" s="6" t="s">
        <v>114</v>
      </c>
      <c r="I370" s="2" t="s">
        <v>100</v>
      </c>
      <c r="J370" s="6" t="s">
        <v>483</v>
      </c>
    </row>
    <row r="371" customFormat="false" ht="46.25" hidden="false" customHeight="false" outlineLevel="0" collapsed="false">
      <c r="A371" s="2" t="str">
        <f aca="false">Wheat_Yield_Data!A371</f>
        <v>Sahiwal</v>
      </c>
      <c r="B371" s="2" t="str">
        <f aca="false">Wheat_Yield_Data!B371</f>
        <v>2017-18</v>
      </c>
      <c r="C371" s="3" t="n">
        <f aca="false">Wheat_Yield_Data!C371</f>
        <v>143260</v>
      </c>
      <c r="D371" s="3" t="n">
        <f aca="false">Wheat_Yield_Data!D371</f>
        <v>496910</v>
      </c>
      <c r="E371" s="4" t="n">
        <f aca="false">Wheat_Yield_Data!E371</f>
        <v>3469</v>
      </c>
      <c r="F371" s="6" t="s">
        <v>116</v>
      </c>
      <c r="G371" s="2" t="s">
        <v>29</v>
      </c>
      <c r="H371" s="6" t="s">
        <v>114</v>
      </c>
      <c r="I371" s="2" t="s">
        <v>100</v>
      </c>
      <c r="J371" s="6" t="s">
        <v>484</v>
      </c>
    </row>
    <row r="372" customFormat="false" ht="46.25" hidden="false" customHeight="false" outlineLevel="0" collapsed="false">
      <c r="A372" s="2" t="str">
        <f aca="false">Wheat_Yield_Data!A372</f>
        <v>Sahiwal</v>
      </c>
      <c r="B372" s="2" t="str">
        <f aca="false">Wheat_Yield_Data!B372</f>
        <v>2018-19</v>
      </c>
      <c r="C372" s="3" t="n">
        <f aca="false">Wheat_Yield_Data!C372</f>
        <v>138400</v>
      </c>
      <c r="D372" s="3" t="n">
        <f aca="false">Wheat_Yield_Data!D372</f>
        <v>451500</v>
      </c>
      <c r="E372" s="4" t="n">
        <f aca="false">Wheat_Yield_Data!E372</f>
        <v>3262</v>
      </c>
      <c r="F372" s="6" t="s">
        <v>118</v>
      </c>
      <c r="G372" s="2" t="s">
        <v>34</v>
      </c>
      <c r="H372" s="6" t="s">
        <v>114</v>
      </c>
      <c r="I372" s="2" t="s">
        <v>100</v>
      </c>
      <c r="J372" s="6" t="s">
        <v>485</v>
      </c>
    </row>
    <row r="373" customFormat="false" ht="35.05" hidden="false" customHeight="false" outlineLevel="0" collapsed="false">
      <c r="A373" s="2" t="str">
        <f aca="false">Wheat_Yield_Data!A373</f>
        <v>Sahiwal</v>
      </c>
      <c r="B373" s="2" t="str">
        <f aca="false">Wheat_Yield_Data!B373</f>
        <v>2020-21</v>
      </c>
      <c r="C373" s="3" t="n">
        <f aca="false">Wheat_Yield_Data!C373</f>
        <v>124240</v>
      </c>
      <c r="D373" s="3" t="n">
        <f aca="false">Wheat_Yield_Data!D373</f>
        <v>439620</v>
      </c>
      <c r="E373" s="4" t="n">
        <f aca="false">Wheat_Yield_Data!E373</f>
        <v>3539</v>
      </c>
      <c r="F373" s="6" t="s">
        <v>120</v>
      </c>
      <c r="G373" s="2" t="s">
        <v>37</v>
      </c>
      <c r="H373" s="6" t="s">
        <v>121</v>
      </c>
      <c r="I373" s="2" t="s">
        <v>100</v>
      </c>
      <c r="J373" s="6" t="s">
        <v>486</v>
      </c>
    </row>
    <row r="374" customFormat="false" ht="35.05" hidden="false" customHeight="false" outlineLevel="0" collapsed="false">
      <c r="A374" s="2" t="str">
        <f aca="false">Wheat_Yield_Data!A374</f>
        <v>Sahiwal</v>
      </c>
      <c r="B374" s="2" t="str">
        <f aca="false">Wheat_Yield_Data!B374</f>
        <v>2021-22</v>
      </c>
      <c r="C374" s="3" t="n">
        <f aca="false">Wheat_Yield_Data!C374</f>
        <v>112910</v>
      </c>
      <c r="D374" s="3" t="n">
        <f aca="false">Wheat_Yield_Data!D374</f>
        <v>384910</v>
      </c>
      <c r="E374" s="4" t="n">
        <f aca="false">Wheat_Yield_Data!E374</f>
        <v>3409</v>
      </c>
      <c r="F374" s="6" t="s">
        <v>123</v>
      </c>
      <c r="G374" s="2" t="s">
        <v>37</v>
      </c>
      <c r="H374" s="6" t="s">
        <v>121</v>
      </c>
      <c r="I374" s="2" t="s">
        <v>100</v>
      </c>
      <c r="J374" s="6" t="s">
        <v>487</v>
      </c>
    </row>
    <row r="375" customFormat="false" ht="23.85" hidden="false" customHeight="false" outlineLevel="0" collapsed="false">
      <c r="A375" s="2" t="str">
        <f aca="false">Wheat_Yield_Data!A375</f>
        <v>Sahiwal</v>
      </c>
      <c r="B375" s="2" t="str">
        <f aca="false">Wheat_Yield_Data!B375</f>
        <v>2022-23</v>
      </c>
      <c r="C375" s="3" t="n">
        <f aca="false">Wheat_Yield_Data!C375</f>
        <v>111300</v>
      </c>
      <c r="D375" s="3" t="n">
        <f aca="false">Wheat_Yield_Data!D375</f>
        <v>407800</v>
      </c>
      <c r="E375" s="4" t="n">
        <f aca="false">Wheat_Yield_Data!E375</f>
        <v>3664</v>
      </c>
      <c r="F375" s="6" t="s">
        <v>125</v>
      </c>
      <c r="G375" s="2" t="s">
        <v>43</v>
      </c>
      <c r="H375" s="6" t="s">
        <v>126</v>
      </c>
      <c r="I375" s="2" t="s">
        <v>100</v>
      </c>
      <c r="J375" s="6" t="s">
        <v>488</v>
      </c>
    </row>
    <row r="376" customFormat="false" ht="35.05" hidden="false" customHeight="false" outlineLevel="0" collapsed="false">
      <c r="A376" s="2" t="str">
        <f aca="false">Wheat_Yield_Data!A376</f>
        <v>Sargodha</v>
      </c>
      <c r="B376" s="2" t="str">
        <f aca="false">Wheat_Yield_Data!B376</f>
        <v>2010-11</v>
      </c>
      <c r="C376" s="3" t="n">
        <f aca="false">Wheat_Yield_Data!C376</f>
        <v>218930</v>
      </c>
      <c r="D376" s="3" t="n">
        <f aca="false">Wheat_Yield_Data!D376</f>
        <v>565390</v>
      </c>
      <c r="E376" s="4" t="n">
        <f aca="false">Wheat_Yield_Data!E376</f>
        <v>2582</v>
      </c>
      <c r="F376" s="6" t="s">
        <v>98</v>
      </c>
      <c r="G376" s="2" t="s">
        <v>11</v>
      </c>
      <c r="H376" s="6" t="s">
        <v>99</v>
      </c>
      <c r="I376" s="2" t="s">
        <v>100</v>
      </c>
      <c r="J376" s="6" t="s">
        <v>489</v>
      </c>
    </row>
    <row r="377" customFormat="false" ht="35.05" hidden="false" customHeight="false" outlineLevel="0" collapsed="false">
      <c r="A377" s="2" t="str">
        <f aca="false">Wheat_Yield_Data!A377</f>
        <v>Sargodha</v>
      </c>
      <c r="B377" s="2" t="str">
        <f aca="false">Wheat_Yield_Data!B377</f>
        <v>2011-12</v>
      </c>
      <c r="C377" s="3" t="n">
        <f aca="false">Wheat_Yield_Data!C377</f>
        <v>211240</v>
      </c>
      <c r="D377" s="3" t="n">
        <f aca="false">Wheat_Yield_Data!D377</f>
        <v>562290</v>
      </c>
      <c r="E377" s="4" t="n">
        <f aca="false">Wheat_Yield_Data!E377</f>
        <v>2662</v>
      </c>
      <c r="F377" s="6" t="s">
        <v>102</v>
      </c>
      <c r="G377" s="2" t="s">
        <v>11</v>
      </c>
      <c r="H377" s="6" t="s">
        <v>99</v>
      </c>
      <c r="I377" s="2" t="s">
        <v>100</v>
      </c>
      <c r="J377" s="6" t="s">
        <v>490</v>
      </c>
    </row>
    <row r="378" customFormat="false" ht="46.25" hidden="false" customHeight="false" outlineLevel="0" collapsed="false">
      <c r="A378" s="2" t="str">
        <f aca="false">Wheat_Yield_Data!A378</f>
        <v>Sargodha</v>
      </c>
      <c r="B378" s="2" t="str">
        <f aca="false">Wheat_Yield_Data!B378</f>
        <v>2012-13</v>
      </c>
      <c r="C378" s="3" t="n">
        <f aca="false">Wheat_Yield_Data!C378</f>
        <v>210430</v>
      </c>
      <c r="D378" s="3" t="n">
        <f aca="false">Wheat_Yield_Data!D378</f>
        <v>577020</v>
      </c>
      <c r="E378" s="4" t="n">
        <f aca="false">Wheat_Yield_Data!E378</f>
        <v>2742</v>
      </c>
      <c r="F378" s="6" t="s">
        <v>104</v>
      </c>
      <c r="G378" s="2" t="s">
        <v>18</v>
      </c>
      <c r="H378" s="6" t="s">
        <v>99</v>
      </c>
      <c r="I378" s="2" t="s">
        <v>100</v>
      </c>
      <c r="J378" s="6" t="s">
        <v>491</v>
      </c>
    </row>
    <row r="379" customFormat="false" ht="35.05" hidden="false" customHeight="false" outlineLevel="0" collapsed="false">
      <c r="A379" s="2" t="str">
        <f aca="false">Wheat_Yield_Data!A379</f>
        <v>Sargodha</v>
      </c>
      <c r="B379" s="2" t="str">
        <f aca="false">Wheat_Yield_Data!B379</f>
        <v>2013-14</v>
      </c>
      <c r="C379" s="3" t="n">
        <f aca="false">Wheat_Yield_Data!C379</f>
        <v>221760</v>
      </c>
      <c r="D379" s="3" t="n">
        <f aca="false">Wheat_Yield_Data!D379</f>
        <v>513390</v>
      </c>
      <c r="E379" s="4" t="n">
        <f aca="false">Wheat_Yield_Data!E379</f>
        <v>2315</v>
      </c>
      <c r="F379" s="6" t="s">
        <v>106</v>
      </c>
      <c r="G379" s="2" t="s">
        <v>18</v>
      </c>
      <c r="H379" s="6" t="s">
        <v>99</v>
      </c>
      <c r="I379" s="2" t="s">
        <v>100</v>
      </c>
      <c r="J379" s="6" t="s">
        <v>492</v>
      </c>
    </row>
    <row r="380" customFormat="false" ht="35.05" hidden="false" customHeight="false" outlineLevel="0" collapsed="false">
      <c r="A380" s="2" t="str">
        <f aca="false">Wheat_Yield_Data!A380</f>
        <v>Sargodha</v>
      </c>
      <c r="B380" s="2" t="str">
        <f aca="false">Wheat_Yield_Data!B380</f>
        <v>2014-15</v>
      </c>
      <c r="C380" s="3" t="n">
        <f aca="false">Wheat_Yield_Data!C380</f>
        <v>220950</v>
      </c>
      <c r="D380" s="3" t="n">
        <f aca="false">Wheat_Yield_Data!D380</f>
        <v>509890</v>
      </c>
      <c r="E380" s="4" t="n">
        <f aca="false">Wheat_Yield_Data!E380</f>
        <v>2308</v>
      </c>
      <c r="F380" s="6" t="s">
        <v>108</v>
      </c>
      <c r="G380" s="2" t="s">
        <v>23</v>
      </c>
      <c r="H380" s="6" t="s">
        <v>99</v>
      </c>
      <c r="I380" s="2" t="s">
        <v>100</v>
      </c>
      <c r="J380" s="6" t="s">
        <v>493</v>
      </c>
    </row>
    <row r="381" customFormat="false" ht="35.05" hidden="false" customHeight="false" outlineLevel="0" collapsed="false">
      <c r="A381" s="2" t="str">
        <f aca="false">Wheat_Yield_Data!A381</f>
        <v>Sargodha</v>
      </c>
      <c r="B381" s="2" t="str">
        <f aca="false">Wheat_Yield_Data!B381</f>
        <v>2015-16</v>
      </c>
      <c r="C381" s="3" t="n">
        <f aca="false">Wheat_Yield_Data!C381</f>
        <v>216500</v>
      </c>
      <c r="D381" s="3" t="n">
        <f aca="false">Wheat_Yield_Data!D381</f>
        <v>539350</v>
      </c>
      <c r="E381" s="4" t="n">
        <f aca="false">Wheat_Yield_Data!E381</f>
        <v>2491</v>
      </c>
      <c r="F381" s="6" t="s">
        <v>110</v>
      </c>
      <c r="G381" s="2" t="s">
        <v>23</v>
      </c>
      <c r="H381" s="6" t="s">
        <v>99</v>
      </c>
      <c r="I381" s="2" t="s">
        <v>100</v>
      </c>
      <c r="J381" s="6" t="s">
        <v>494</v>
      </c>
    </row>
    <row r="382" customFormat="false" ht="46.25" hidden="false" customHeight="false" outlineLevel="0" collapsed="false">
      <c r="A382" s="2" t="str">
        <f aca="false">Wheat_Yield_Data!A382</f>
        <v>Sargodha</v>
      </c>
      <c r="B382" s="2" t="str">
        <f aca="false">Wheat_Yield_Data!B382</f>
        <v>2016-17</v>
      </c>
      <c r="C382" s="3" t="n">
        <f aca="false">Wheat_Yield_Data!C382</f>
        <v>205170</v>
      </c>
      <c r="D382" s="3" t="n">
        <f aca="false">Wheat_Yield_Data!D382</f>
        <v>572440</v>
      </c>
      <c r="E382" s="4" t="n">
        <f aca="false">Wheat_Yield_Data!E382</f>
        <v>2790</v>
      </c>
      <c r="F382" s="6" t="s">
        <v>113</v>
      </c>
      <c r="G382" s="2" t="s">
        <v>29</v>
      </c>
      <c r="H382" s="6" t="s">
        <v>114</v>
      </c>
      <c r="I382" s="2" t="s">
        <v>100</v>
      </c>
      <c r="J382" s="6" t="s">
        <v>495</v>
      </c>
    </row>
    <row r="383" customFormat="false" ht="46.25" hidden="false" customHeight="false" outlineLevel="0" collapsed="false">
      <c r="A383" s="2" t="str">
        <f aca="false">Wheat_Yield_Data!A383</f>
        <v>Sargodha</v>
      </c>
      <c r="B383" s="2" t="str">
        <f aca="false">Wheat_Yield_Data!B383</f>
        <v>2017-18</v>
      </c>
      <c r="C383" s="3" t="n">
        <f aca="false">Wheat_Yield_Data!C383</f>
        <v>193430</v>
      </c>
      <c r="D383" s="3" t="n">
        <f aca="false">Wheat_Yield_Data!D383</f>
        <v>535550</v>
      </c>
      <c r="E383" s="4" t="n">
        <f aca="false">Wheat_Yield_Data!E383</f>
        <v>2769</v>
      </c>
      <c r="F383" s="6" t="s">
        <v>116</v>
      </c>
      <c r="G383" s="2" t="s">
        <v>29</v>
      </c>
      <c r="H383" s="6" t="s">
        <v>114</v>
      </c>
      <c r="I383" s="2" t="s">
        <v>100</v>
      </c>
      <c r="J383" s="6" t="s">
        <v>496</v>
      </c>
    </row>
    <row r="384" customFormat="false" ht="46.25" hidden="false" customHeight="false" outlineLevel="0" collapsed="false">
      <c r="A384" s="2" t="str">
        <f aca="false">Wheat_Yield_Data!A384</f>
        <v>Sargodha</v>
      </c>
      <c r="B384" s="2" t="str">
        <f aca="false">Wheat_Yield_Data!B384</f>
        <v>2018-19</v>
      </c>
      <c r="C384" s="3" t="n">
        <f aca="false">Wheat_Yield_Data!C384</f>
        <v>202740</v>
      </c>
      <c r="D384" s="3" t="n">
        <f aca="false">Wheat_Yield_Data!D384</f>
        <v>527520</v>
      </c>
      <c r="E384" s="4" t="n">
        <f aca="false">Wheat_Yield_Data!E384</f>
        <v>2602</v>
      </c>
      <c r="F384" s="6" t="s">
        <v>118</v>
      </c>
      <c r="G384" s="2" t="s">
        <v>34</v>
      </c>
      <c r="H384" s="6" t="s">
        <v>114</v>
      </c>
      <c r="I384" s="2" t="s">
        <v>100</v>
      </c>
      <c r="J384" s="6" t="s">
        <v>497</v>
      </c>
    </row>
    <row r="385" customFormat="false" ht="46.25" hidden="false" customHeight="false" outlineLevel="0" collapsed="false">
      <c r="A385" s="2" t="str">
        <f aca="false">Wheat_Yield_Data!A385</f>
        <v>Sargodha</v>
      </c>
      <c r="B385" s="2" t="str">
        <f aca="false">Wheat_Yield_Data!B385</f>
        <v>2020-21</v>
      </c>
      <c r="C385" s="3" t="n">
        <f aca="false">Wheat_Yield_Data!C385</f>
        <v>207600</v>
      </c>
      <c r="D385" s="3" t="n">
        <f aca="false">Wheat_Yield_Data!D385</f>
        <v>616630</v>
      </c>
      <c r="E385" s="4" t="n">
        <f aca="false">Wheat_Yield_Data!E385</f>
        <v>2970</v>
      </c>
      <c r="F385" s="6" t="s">
        <v>120</v>
      </c>
      <c r="G385" s="2" t="s">
        <v>37</v>
      </c>
      <c r="H385" s="6" t="s">
        <v>121</v>
      </c>
      <c r="I385" s="2" t="s">
        <v>100</v>
      </c>
      <c r="J385" s="6" t="s">
        <v>498</v>
      </c>
    </row>
    <row r="386" customFormat="false" ht="35.05" hidden="false" customHeight="false" outlineLevel="0" collapsed="false">
      <c r="A386" s="2" t="str">
        <f aca="false">Wheat_Yield_Data!A386</f>
        <v>Sargodha</v>
      </c>
      <c r="B386" s="2" t="str">
        <f aca="false">Wheat_Yield_Data!B386</f>
        <v>2021-22</v>
      </c>
      <c r="C386" s="3" t="n">
        <f aca="false">Wheat_Yield_Data!C386</f>
        <v>195050</v>
      </c>
      <c r="D386" s="3" t="n">
        <f aca="false">Wheat_Yield_Data!D386</f>
        <v>545620</v>
      </c>
      <c r="E386" s="4" t="n">
        <f aca="false">Wheat_Yield_Data!E386</f>
        <v>2797</v>
      </c>
      <c r="F386" s="6" t="s">
        <v>123</v>
      </c>
      <c r="G386" s="2" t="s">
        <v>37</v>
      </c>
      <c r="H386" s="6" t="s">
        <v>121</v>
      </c>
      <c r="I386" s="2" t="s">
        <v>100</v>
      </c>
      <c r="J386" s="6" t="s">
        <v>499</v>
      </c>
    </row>
    <row r="387" customFormat="false" ht="23.85" hidden="false" customHeight="false" outlineLevel="0" collapsed="false">
      <c r="A387" s="2" t="str">
        <f aca="false">Wheat_Yield_Data!A387</f>
        <v>Sargodha</v>
      </c>
      <c r="B387" s="2" t="str">
        <f aca="false">Wheat_Yield_Data!B387</f>
        <v>2022-23</v>
      </c>
      <c r="C387" s="3" t="n">
        <f aca="false">Wheat_Yield_Data!C387</f>
        <v>200700</v>
      </c>
      <c r="D387" s="3" t="n">
        <f aca="false">Wheat_Yield_Data!D387</f>
        <v>630100</v>
      </c>
      <c r="E387" s="4" t="n">
        <f aca="false">Wheat_Yield_Data!E387</f>
        <v>3139</v>
      </c>
      <c r="F387" s="6" t="s">
        <v>125</v>
      </c>
      <c r="G387" s="2" t="s">
        <v>43</v>
      </c>
      <c r="H387" s="6" t="s">
        <v>126</v>
      </c>
      <c r="I387" s="2" t="s">
        <v>100</v>
      </c>
      <c r="J387" s="6" t="s">
        <v>500</v>
      </c>
    </row>
    <row r="388" customFormat="false" ht="35.05" hidden="false" customHeight="false" outlineLevel="0" collapsed="false">
      <c r="A388" s="2" t="str">
        <f aca="false">Wheat_Yield_Data!A388</f>
        <v>Sheikhupura</v>
      </c>
      <c r="B388" s="2" t="str">
        <f aca="false">Wheat_Yield_Data!B388</f>
        <v>2010-11</v>
      </c>
      <c r="C388" s="3" t="n">
        <f aca="false">Wheat_Yield_Data!C388</f>
        <v>222980</v>
      </c>
      <c r="D388" s="3" t="n">
        <f aca="false">Wheat_Yield_Data!D388</f>
        <v>677640</v>
      </c>
      <c r="E388" s="4" t="n">
        <f aca="false">Wheat_Yield_Data!E388</f>
        <v>3039</v>
      </c>
      <c r="F388" s="6" t="s">
        <v>98</v>
      </c>
      <c r="G388" s="2" t="s">
        <v>11</v>
      </c>
      <c r="H388" s="6" t="s">
        <v>99</v>
      </c>
      <c r="I388" s="2" t="s">
        <v>100</v>
      </c>
      <c r="J388" s="6" t="s">
        <v>501</v>
      </c>
    </row>
    <row r="389" customFormat="false" ht="35.05" hidden="false" customHeight="false" outlineLevel="0" collapsed="false">
      <c r="A389" s="2" t="str">
        <f aca="false">Wheat_Yield_Data!A389</f>
        <v>Sheikhupura</v>
      </c>
      <c r="B389" s="2" t="str">
        <f aca="false">Wheat_Yield_Data!B389</f>
        <v>2011-12</v>
      </c>
      <c r="C389" s="3" t="n">
        <f aca="false">Wheat_Yield_Data!C389</f>
        <v>229050</v>
      </c>
      <c r="D389" s="3" t="n">
        <f aca="false">Wheat_Yield_Data!D389</f>
        <v>657640</v>
      </c>
      <c r="E389" s="4" t="n">
        <f aca="false">Wheat_Yield_Data!E389</f>
        <v>2871</v>
      </c>
      <c r="F389" s="6" t="s">
        <v>102</v>
      </c>
      <c r="G389" s="2" t="s">
        <v>11</v>
      </c>
      <c r="H389" s="6" t="s">
        <v>99</v>
      </c>
      <c r="I389" s="2" t="s">
        <v>100</v>
      </c>
      <c r="J389" s="6" t="s">
        <v>502</v>
      </c>
    </row>
    <row r="390" customFormat="false" ht="46.25" hidden="false" customHeight="false" outlineLevel="0" collapsed="false">
      <c r="A390" s="2" t="str">
        <f aca="false">Wheat_Yield_Data!A390</f>
        <v>Sheikhupura</v>
      </c>
      <c r="B390" s="2" t="str">
        <f aca="false">Wheat_Yield_Data!B390</f>
        <v>2012-13</v>
      </c>
      <c r="C390" s="3" t="n">
        <f aca="false">Wheat_Yield_Data!C390</f>
        <v>220550</v>
      </c>
      <c r="D390" s="3" t="n">
        <f aca="false">Wheat_Yield_Data!D390</f>
        <v>672300</v>
      </c>
      <c r="E390" s="4" t="n">
        <f aca="false">Wheat_Yield_Data!E390</f>
        <v>3048</v>
      </c>
      <c r="F390" s="6" t="s">
        <v>104</v>
      </c>
      <c r="G390" s="2" t="s">
        <v>18</v>
      </c>
      <c r="H390" s="6" t="s">
        <v>99</v>
      </c>
      <c r="I390" s="2" t="s">
        <v>100</v>
      </c>
      <c r="J390" s="6" t="s">
        <v>503</v>
      </c>
    </row>
    <row r="391" customFormat="false" ht="35.05" hidden="false" customHeight="false" outlineLevel="0" collapsed="false">
      <c r="A391" s="2" t="str">
        <f aca="false">Wheat_Yield_Data!A391</f>
        <v>Sheikhupura</v>
      </c>
      <c r="B391" s="2" t="str">
        <f aca="false">Wheat_Yield_Data!B391</f>
        <v>2013-14</v>
      </c>
      <c r="C391" s="3" t="n">
        <f aca="false">Wheat_Yield_Data!C391</f>
        <v>225410</v>
      </c>
      <c r="D391" s="3" t="n">
        <f aca="false">Wheat_Yield_Data!D391</f>
        <v>690430</v>
      </c>
      <c r="E391" s="4" t="n">
        <f aca="false">Wheat_Yield_Data!E391</f>
        <v>3063</v>
      </c>
      <c r="F391" s="6" t="s">
        <v>106</v>
      </c>
      <c r="G391" s="2" t="s">
        <v>18</v>
      </c>
      <c r="H391" s="6" t="s">
        <v>99</v>
      </c>
      <c r="I391" s="2" t="s">
        <v>100</v>
      </c>
      <c r="J391" s="6" t="s">
        <v>504</v>
      </c>
    </row>
    <row r="392" customFormat="false" ht="35.05" hidden="false" customHeight="false" outlineLevel="0" collapsed="false">
      <c r="A392" s="2" t="str">
        <f aca="false">Wheat_Yield_Data!A392</f>
        <v>Sheikhupura</v>
      </c>
      <c r="B392" s="2" t="str">
        <f aca="false">Wheat_Yield_Data!B392</f>
        <v>2014-15</v>
      </c>
      <c r="C392" s="3" t="n">
        <f aca="false">Wheat_Yield_Data!C392</f>
        <v>221760</v>
      </c>
      <c r="D392" s="3" t="n">
        <f aca="false">Wheat_Yield_Data!D392</f>
        <v>712200</v>
      </c>
      <c r="E392" s="4" t="n">
        <f aca="false">Wheat_Yield_Data!E392</f>
        <v>3212</v>
      </c>
      <c r="F392" s="6" t="s">
        <v>108</v>
      </c>
      <c r="G392" s="2" t="s">
        <v>23</v>
      </c>
      <c r="H392" s="6" t="s">
        <v>99</v>
      </c>
      <c r="I392" s="2" t="s">
        <v>100</v>
      </c>
      <c r="J392" s="6" t="s">
        <v>505</v>
      </c>
    </row>
    <row r="393" customFormat="false" ht="35.05" hidden="false" customHeight="false" outlineLevel="0" collapsed="false">
      <c r="A393" s="2" t="str">
        <f aca="false">Wheat_Yield_Data!A393</f>
        <v>Sheikhupura</v>
      </c>
      <c r="B393" s="2" t="str">
        <f aca="false">Wheat_Yield_Data!B393</f>
        <v>2015-16</v>
      </c>
      <c r="C393" s="3" t="n">
        <f aca="false">Wheat_Yield_Data!C393</f>
        <v>218930</v>
      </c>
      <c r="D393" s="3" t="n">
        <f aca="false">Wheat_Yield_Data!D393</f>
        <v>630210</v>
      </c>
      <c r="E393" s="4" t="n">
        <f aca="false">Wheat_Yield_Data!E393</f>
        <v>2879</v>
      </c>
      <c r="F393" s="6" t="s">
        <v>110</v>
      </c>
      <c r="G393" s="2" t="s">
        <v>23</v>
      </c>
      <c r="H393" s="6" t="s">
        <v>99</v>
      </c>
      <c r="I393" s="2" t="s">
        <v>100</v>
      </c>
      <c r="J393" s="6" t="s">
        <v>506</v>
      </c>
    </row>
    <row r="394" customFormat="false" ht="46.25" hidden="false" customHeight="false" outlineLevel="0" collapsed="false">
      <c r="A394" s="2" t="str">
        <f aca="false">Wheat_Yield_Data!A394</f>
        <v>Sheikhupura</v>
      </c>
      <c r="B394" s="2" t="str">
        <f aca="false">Wheat_Yield_Data!B394</f>
        <v>2016-17</v>
      </c>
      <c r="C394" s="3" t="n">
        <f aca="false">Wheat_Yield_Data!C394</f>
        <v>212460</v>
      </c>
      <c r="D394" s="3" t="n">
        <f aca="false">Wheat_Yield_Data!D394</f>
        <v>674080</v>
      </c>
      <c r="E394" s="4" t="n">
        <f aca="false">Wheat_Yield_Data!E394</f>
        <v>3173</v>
      </c>
      <c r="F394" s="6" t="s">
        <v>113</v>
      </c>
      <c r="G394" s="2" t="s">
        <v>29</v>
      </c>
      <c r="H394" s="6" t="s">
        <v>114</v>
      </c>
      <c r="I394" s="2" t="s">
        <v>100</v>
      </c>
      <c r="J394" s="6" t="s">
        <v>507</v>
      </c>
    </row>
    <row r="395" customFormat="false" ht="46.25" hidden="false" customHeight="false" outlineLevel="0" collapsed="false">
      <c r="A395" s="2" t="str">
        <f aca="false">Wheat_Yield_Data!A395</f>
        <v>Sheikhupura</v>
      </c>
      <c r="B395" s="2" t="str">
        <f aca="false">Wheat_Yield_Data!B395</f>
        <v>2017-18</v>
      </c>
      <c r="C395" s="3" t="n">
        <f aca="false">Wheat_Yield_Data!C395</f>
        <v>212050</v>
      </c>
      <c r="D395" s="3" t="n">
        <f aca="false">Wheat_Yield_Data!D395</f>
        <v>685710</v>
      </c>
      <c r="E395" s="4" t="n">
        <f aca="false">Wheat_Yield_Data!E395</f>
        <v>3234</v>
      </c>
      <c r="F395" s="6" t="s">
        <v>116</v>
      </c>
      <c r="G395" s="2" t="s">
        <v>29</v>
      </c>
      <c r="H395" s="6" t="s">
        <v>114</v>
      </c>
      <c r="I395" s="2" t="s">
        <v>100</v>
      </c>
      <c r="J395" s="6" t="s">
        <v>508</v>
      </c>
    </row>
    <row r="396" customFormat="false" ht="46.25" hidden="false" customHeight="false" outlineLevel="0" collapsed="false">
      <c r="A396" s="2" t="str">
        <f aca="false">Wheat_Yield_Data!A396</f>
        <v>Sheikhupura</v>
      </c>
      <c r="B396" s="2" t="str">
        <f aca="false">Wheat_Yield_Data!B396</f>
        <v>2018-19</v>
      </c>
      <c r="C396" s="3" t="n">
        <f aca="false">Wheat_Yield_Data!C396</f>
        <v>211240</v>
      </c>
      <c r="D396" s="3" t="n">
        <f aca="false">Wheat_Yield_Data!D396</f>
        <v>637690</v>
      </c>
      <c r="E396" s="4" t="n">
        <f aca="false">Wheat_Yield_Data!E396</f>
        <v>3019</v>
      </c>
      <c r="F396" s="6" t="s">
        <v>118</v>
      </c>
      <c r="G396" s="2" t="s">
        <v>34</v>
      </c>
      <c r="H396" s="6" t="s">
        <v>114</v>
      </c>
      <c r="I396" s="2" t="s">
        <v>100</v>
      </c>
      <c r="J396" s="6" t="s">
        <v>509</v>
      </c>
    </row>
    <row r="397" customFormat="false" ht="35.05" hidden="false" customHeight="false" outlineLevel="0" collapsed="false">
      <c r="A397" s="2" t="str">
        <f aca="false">Wheat_Yield_Data!A397</f>
        <v>Sheikhupura</v>
      </c>
      <c r="B397" s="2" t="str">
        <f aca="false">Wheat_Yield_Data!B397</f>
        <v>2020-21</v>
      </c>
      <c r="C397" s="3" t="n">
        <f aca="false">Wheat_Yield_Data!C397</f>
        <v>208410</v>
      </c>
      <c r="D397" s="3" t="n">
        <f aca="false">Wheat_Yield_Data!D397</f>
        <v>683100</v>
      </c>
      <c r="E397" s="4" t="n">
        <f aca="false">Wheat_Yield_Data!E397</f>
        <v>3278</v>
      </c>
      <c r="F397" s="6" t="s">
        <v>120</v>
      </c>
      <c r="G397" s="2" t="s">
        <v>37</v>
      </c>
      <c r="H397" s="6" t="s">
        <v>121</v>
      </c>
      <c r="I397" s="2" t="s">
        <v>100</v>
      </c>
      <c r="J397" s="6" t="s">
        <v>510</v>
      </c>
    </row>
    <row r="398" customFormat="false" ht="35.05" hidden="false" customHeight="false" outlineLevel="0" collapsed="false">
      <c r="A398" s="2" t="str">
        <f aca="false">Wheat_Yield_Data!A398</f>
        <v>Sheikhupura</v>
      </c>
      <c r="B398" s="2" t="str">
        <f aca="false">Wheat_Yield_Data!B398</f>
        <v>2021-22</v>
      </c>
      <c r="C398" s="3" t="n">
        <f aca="false">Wheat_Yield_Data!C398</f>
        <v>220950</v>
      </c>
      <c r="D398" s="3" t="n">
        <f aca="false">Wheat_Yield_Data!D398</f>
        <v>669180</v>
      </c>
      <c r="E398" s="4" t="n">
        <f aca="false">Wheat_Yield_Data!E398</f>
        <v>3029</v>
      </c>
      <c r="F398" s="6" t="s">
        <v>123</v>
      </c>
      <c r="G398" s="2" t="s">
        <v>37</v>
      </c>
      <c r="H398" s="6" t="s">
        <v>121</v>
      </c>
      <c r="I398" s="2" t="s">
        <v>100</v>
      </c>
      <c r="J398" s="6" t="s">
        <v>511</v>
      </c>
    </row>
    <row r="399" customFormat="false" ht="23.85" hidden="false" customHeight="false" outlineLevel="0" collapsed="false">
      <c r="A399" s="2" t="str">
        <f aca="false">Wheat_Yield_Data!A399</f>
        <v>Sheikhupura</v>
      </c>
      <c r="B399" s="2" t="str">
        <f aca="false">Wheat_Yield_Data!B399</f>
        <v>2022-23</v>
      </c>
      <c r="C399" s="3" t="n">
        <f aca="false">Wheat_Yield_Data!C399</f>
        <v>228200</v>
      </c>
      <c r="D399" s="3" t="n">
        <f aca="false">Wheat_Yield_Data!D399</f>
        <v>755500</v>
      </c>
      <c r="E399" s="4" t="n">
        <f aca="false">Wheat_Yield_Data!E399</f>
        <v>3310</v>
      </c>
      <c r="F399" s="6" t="s">
        <v>125</v>
      </c>
      <c r="G399" s="2" t="s">
        <v>43</v>
      </c>
      <c r="H399" s="6" t="s">
        <v>126</v>
      </c>
      <c r="I399" s="2" t="s">
        <v>100</v>
      </c>
      <c r="J399" s="6" t="s">
        <v>512</v>
      </c>
    </row>
    <row r="400" customFormat="false" ht="35.05" hidden="false" customHeight="false" outlineLevel="0" collapsed="false">
      <c r="A400" s="2" t="str">
        <f aca="false">Wheat_Yield_Data!A400</f>
        <v>Sialkot</v>
      </c>
      <c r="B400" s="2" t="str">
        <f aca="false">Wheat_Yield_Data!B400</f>
        <v>2010-11</v>
      </c>
      <c r="C400" s="3" t="n">
        <f aca="false">Wheat_Yield_Data!C400</f>
        <v>215690</v>
      </c>
      <c r="D400" s="3" t="n">
        <f aca="false">Wheat_Yield_Data!D400</f>
        <v>569870</v>
      </c>
      <c r="E400" s="4" t="n">
        <f aca="false">Wheat_Yield_Data!E400</f>
        <v>2642</v>
      </c>
      <c r="F400" s="6" t="s">
        <v>98</v>
      </c>
      <c r="G400" s="2" t="s">
        <v>11</v>
      </c>
      <c r="H400" s="6" t="s">
        <v>99</v>
      </c>
      <c r="I400" s="2" t="s">
        <v>100</v>
      </c>
      <c r="J400" s="6" t="s">
        <v>513</v>
      </c>
    </row>
    <row r="401" customFormat="false" ht="35.05" hidden="false" customHeight="false" outlineLevel="0" collapsed="false">
      <c r="A401" s="2" t="str">
        <f aca="false">Wheat_Yield_Data!A401</f>
        <v>Sialkot</v>
      </c>
      <c r="B401" s="2" t="str">
        <f aca="false">Wheat_Yield_Data!B401</f>
        <v>2011-12</v>
      </c>
      <c r="C401" s="3" t="n">
        <f aca="false">Wheat_Yield_Data!C401</f>
        <v>205580</v>
      </c>
      <c r="D401" s="3" t="n">
        <f aca="false">Wheat_Yield_Data!D401</f>
        <v>597270</v>
      </c>
      <c r="E401" s="4" t="n">
        <f aca="false">Wheat_Yield_Data!E401</f>
        <v>2905</v>
      </c>
      <c r="F401" s="6" t="s">
        <v>102</v>
      </c>
      <c r="G401" s="2" t="s">
        <v>11</v>
      </c>
      <c r="H401" s="6" t="s">
        <v>99</v>
      </c>
      <c r="I401" s="2" t="s">
        <v>100</v>
      </c>
      <c r="J401" s="6" t="s">
        <v>514</v>
      </c>
    </row>
    <row r="402" customFormat="false" ht="46.25" hidden="false" customHeight="false" outlineLevel="0" collapsed="false">
      <c r="A402" s="2" t="str">
        <f aca="false">Wheat_Yield_Data!A402</f>
        <v>Sialkot</v>
      </c>
      <c r="B402" s="2" t="str">
        <f aca="false">Wheat_Yield_Data!B402</f>
        <v>2012-13</v>
      </c>
      <c r="C402" s="3" t="n">
        <f aca="false">Wheat_Yield_Data!C402</f>
        <v>203550</v>
      </c>
      <c r="D402" s="3" t="n">
        <f aca="false">Wheat_Yield_Data!D402</f>
        <v>609600</v>
      </c>
      <c r="E402" s="4" t="n">
        <f aca="false">Wheat_Yield_Data!E402</f>
        <v>2995</v>
      </c>
      <c r="F402" s="6" t="s">
        <v>104</v>
      </c>
      <c r="G402" s="2" t="s">
        <v>18</v>
      </c>
      <c r="H402" s="6" t="s">
        <v>99</v>
      </c>
      <c r="I402" s="2" t="s">
        <v>100</v>
      </c>
      <c r="J402" s="6" t="s">
        <v>515</v>
      </c>
    </row>
    <row r="403" customFormat="false" ht="35.05" hidden="false" customHeight="false" outlineLevel="0" collapsed="false">
      <c r="A403" s="2" t="str">
        <f aca="false">Wheat_Yield_Data!A403</f>
        <v>Sialkot</v>
      </c>
      <c r="B403" s="2" t="str">
        <f aca="false">Wheat_Yield_Data!B403</f>
        <v>2013-14</v>
      </c>
      <c r="C403" s="3" t="n">
        <f aca="false">Wheat_Yield_Data!C403</f>
        <v>209630</v>
      </c>
      <c r="D403" s="3" t="n">
        <f aca="false">Wheat_Yield_Data!D403</f>
        <v>632680</v>
      </c>
      <c r="E403" s="4" t="n">
        <f aca="false">Wheat_Yield_Data!E403</f>
        <v>3018</v>
      </c>
      <c r="F403" s="6" t="s">
        <v>106</v>
      </c>
      <c r="G403" s="2" t="s">
        <v>18</v>
      </c>
      <c r="H403" s="6" t="s">
        <v>99</v>
      </c>
      <c r="I403" s="2" t="s">
        <v>100</v>
      </c>
      <c r="J403" s="6" t="s">
        <v>516</v>
      </c>
    </row>
    <row r="404" customFormat="false" ht="35.05" hidden="false" customHeight="false" outlineLevel="0" collapsed="false">
      <c r="A404" s="2" t="str">
        <f aca="false">Wheat_Yield_Data!A404</f>
        <v>Sialkot</v>
      </c>
      <c r="B404" s="2" t="str">
        <f aca="false">Wheat_Yield_Data!B404</f>
        <v>2014-15</v>
      </c>
      <c r="C404" s="3" t="n">
        <f aca="false">Wheat_Yield_Data!C404</f>
        <v>211240</v>
      </c>
      <c r="D404" s="3" t="n">
        <f aca="false">Wheat_Yield_Data!D404</f>
        <v>361610</v>
      </c>
      <c r="E404" s="4" t="n">
        <f aca="false">Wheat_Yield_Data!E404</f>
        <v>1712</v>
      </c>
      <c r="F404" s="6" t="s">
        <v>108</v>
      </c>
      <c r="G404" s="2" t="s">
        <v>23</v>
      </c>
      <c r="H404" s="6" t="s">
        <v>99</v>
      </c>
      <c r="I404" s="2" t="s">
        <v>100</v>
      </c>
      <c r="J404" s="6" t="s">
        <v>517</v>
      </c>
    </row>
    <row r="405" customFormat="false" ht="35.05" hidden="false" customHeight="false" outlineLevel="0" collapsed="false">
      <c r="A405" s="2" t="str">
        <f aca="false">Wheat_Yield_Data!A405</f>
        <v>Sialkot</v>
      </c>
      <c r="B405" s="2" t="str">
        <f aca="false">Wheat_Yield_Data!B405</f>
        <v>2015-16</v>
      </c>
      <c r="C405" s="3" t="n">
        <f aca="false">Wheat_Yield_Data!C405</f>
        <v>205980</v>
      </c>
      <c r="D405" s="3" t="n">
        <f aca="false">Wheat_Yield_Data!D405</f>
        <v>504400</v>
      </c>
      <c r="E405" s="4" t="n">
        <f aca="false">Wheat_Yield_Data!E405</f>
        <v>2449</v>
      </c>
      <c r="F405" s="6" t="s">
        <v>110</v>
      </c>
      <c r="G405" s="2" t="s">
        <v>23</v>
      </c>
      <c r="H405" s="6" t="s">
        <v>99</v>
      </c>
      <c r="I405" s="2" t="s">
        <v>100</v>
      </c>
      <c r="J405" s="6" t="s">
        <v>518</v>
      </c>
    </row>
    <row r="406" customFormat="false" ht="46.25" hidden="false" customHeight="false" outlineLevel="0" collapsed="false">
      <c r="A406" s="2" t="str">
        <f aca="false">Wheat_Yield_Data!A406</f>
        <v>Sialkot</v>
      </c>
      <c r="B406" s="2" t="str">
        <f aca="false">Wheat_Yield_Data!B406</f>
        <v>2016-17</v>
      </c>
      <c r="C406" s="3" t="n">
        <f aca="false">Wheat_Yield_Data!C406</f>
        <v>209220</v>
      </c>
      <c r="D406" s="3" t="n">
        <f aca="false">Wheat_Yield_Data!D406</f>
        <v>536260</v>
      </c>
      <c r="E406" s="4" t="n">
        <f aca="false">Wheat_Yield_Data!E406</f>
        <v>2563</v>
      </c>
      <c r="F406" s="6" t="s">
        <v>113</v>
      </c>
      <c r="G406" s="2" t="s">
        <v>29</v>
      </c>
      <c r="H406" s="6" t="s">
        <v>114</v>
      </c>
      <c r="I406" s="2" t="s">
        <v>100</v>
      </c>
      <c r="J406" s="6" t="s">
        <v>519</v>
      </c>
    </row>
    <row r="407" customFormat="false" ht="46.25" hidden="false" customHeight="false" outlineLevel="0" collapsed="false">
      <c r="A407" s="2" t="str">
        <f aca="false">Wheat_Yield_Data!A407</f>
        <v>Sialkot</v>
      </c>
      <c r="B407" s="2" t="str">
        <f aca="false">Wheat_Yield_Data!B407</f>
        <v>2017-18</v>
      </c>
      <c r="C407" s="3" t="n">
        <f aca="false">Wheat_Yield_Data!C407</f>
        <v>203150</v>
      </c>
      <c r="D407" s="3" t="n">
        <f aca="false">Wheat_Yield_Data!D407</f>
        <v>554240</v>
      </c>
      <c r="E407" s="4" t="n">
        <f aca="false">Wheat_Yield_Data!E407</f>
        <v>2728</v>
      </c>
      <c r="F407" s="6" t="s">
        <v>116</v>
      </c>
      <c r="G407" s="2" t="s">
        <v>29</v>
      </c>
      <c r="H407" s="6" t="s">
        <v>114</v>
      </c>
      <c r="I407" s="2" t="s">
        <v>100</v>
      </c>
      <c r="J407" s="6" t="s">
        <v>520</v>
      </c>
    </row>
    <row r="408" customFormat="false" ht="46.25" hidden="false" customHeight="false" outlineLevel="0" collapsed="false">
      <c r="A408" s="2" t="str">
        <f aca="false">Wheat_Yield_Data!A408</f>
        <v>Sialkot</v>
      </c>
      <c r="B408" s="2" t="str">
        <f aca="false">Wheat_Yield_Data!B408</f>
        <v>2018-19</v>
      </c>
      <c r="C408" s="3" t="n">
        <f aca="false">Wheat_Yield_Data!C408</f>
        <v>185340</v>
      </c>
      <c r="D408" s="3" t="n">
        <f aca="false">Wheat_Yield_Data!D408</f>
        <v>471470</v>
      </c>
      <c r="E408" s="4" t="n">
        <f aca="false">Wheat_Yield_Data!E408</f>
        <v>2544</v>
      </c>
      <c r="F408" s="6" t="s">
        <v>118</v>
      </c>
      <c r="G408" s="2" t="s">
        <v>34</v>
      </c>
      <c r="H408" s="6" t="s">
        <v>114</v>
      </c>
      <c r="I408" s="2" t="s">
        <v>100</v>
      </c>
      <c r="J408" s="6" t="s">
        <v>521</v>
      </c>
    </row>
    <row r="409" customFormat="false" ht="35.05" hidden="false" customHeight="false" outlineLevel="0" collapsed="false">
      <c r="A409" s="2" t="str">
        <f aca="false">Wheat_Yield_Data!A409</f>
        <v>Sialkot</v>
      </c>
      <c r="B409" s="2" t="str">
        <f aca="false">Wheat_Yield_Data!B409</f>
        <v>2020-21</v>
      </c>
      <c r="C409" s="3" t="n">
        <f aca="false">Wheat_Yield_Data!C409</f>
        <v>170770</v>
      </c>
      <c r="D409" s="3" t="n">
        <f aca="false">Wheat_Yield_Data!D409</f>
        <v>490870</v>
      </c>
      <c r="E409" s="4" t="n">
        <f aca="false">Wheat_Yield_Data!E409</f>
        <v>2874</v>
      </c>
      <c r="F409" s="6" t="s">
        <v>120</v>
      </c>
      <c r="G409" s="2" t="s">
        <v>37</v>
      </c>
      <c r="H409" s="6" t="s">
        <v>121</v>
      </c>
      <c r="I409" s="2" t="s">
        <v>100</v>
      </c>
      <c r="J409" s="6" t="s">
        <v>522</v>
      </c>
    </row>
    <row r="410" customFormat="false" ht="35.05" hidden="false" customHeight="false" outlineLevel="0" collapsed="false">
      <c r="A410" s="2" t="str">
        <f aca="false">Wheat_Yield_Data!A410</f>
        <v>Sialkot</v>
      </c>
      <c r="B410" s="2" t="str">
        <f aca="false">Wheat_Yield_Data!B410</f>
        <v>2021-22</v>
      </c>
      <c r="C410" s="3" t="n">
        <f aca="false">Wheat_Yield_Data!C410</f>
        <v>185340</v>
      </c>
      <c r="D410" s="3" t="n">
        <f aca="false">Wheat_Yield_Data!D410</f>
        <v>462400</v>
      </c>
      <c r="E410" s="4" t="n">
        <f aca="false">Wheat_Yield_Data!E410</f>
        <v>2495</v>
      </c>
      <c r="F410" s="6" t="s">
        <v>123</v>
      </c>
      <c r="G410" s="2" t="s">
        <v>37</v>
      </c>
      <c r="H410" s="6" t="s">
        <v>121</v>
      </c>
      <c r="I410" s="2" t="s">
        <v>100</v>
      </c>
      <c r="J410" s="6" t="s">
        <v>523</v>
      </c>
    </row>
    <row r="411" customFormat="false" ht="23.85" hidden="false" customHeight="false" outlineLevel="0" collapsed="false">
      <c r="A411" s="2" t="str">
        <f aca="false">Wheat_Yield_Data!A411</f>
        <v>Sialkot</v>
      </c>
      <c r="B411" s="2" t="str">
        <f aca="false">Wheat_Yield_Data!B411</f>
        <v>2022-23</v>
      </c>
      <c r="C411" s="3" t="n">
        <f aca="false">Wheat_Yield_Data!C411</f>
        <v>190200</v>
      </c>
      <c r="D411" s="3" t="n">
        <f aca="false">Wheat_Yield_Data!D411</f>
        <v>565100</v>
      </c>
      <c r="E411" s="4" t="n">
        <f aca="false">Wheat_Yield_Data!E411</f>
        <v>2971</v>
      </c>
      <c r="F411" s="6" t="s">
        <v>125</v>
      </c>
      <c r="G411" s="2" t="s">
        <v>43</v>
      </c>
      <c r="H411" s="6" t="s">
        <v>126</v>
      </c>
      <c r="I411" s="2" t="s">
        <v>100</v>
      </c>
      <c r="J411" s="6" t="s">
        <v>524</v>
      </c>
    </row>
    <row r="412" customFormat="false" ht="23.85" hidden="false" customHeight="false" outlineLevel="0" collapsed="false">
      <c r="A412" s="2" t="str">
        <f aca="false">Wheat_Yield_Data!A412</f>
        <v>Talagang</v>
      </c>
      <c r="B412" s="2" t="str">
        <f aca="false">Wheat_Yield_Data!B412</f>
        <v>2022-23</v>
      </c>
      <c r="C412" s="3" t="n">
        <f aca="false">Wheat_Yield_Data!C412</f>
        <v>53400</v>
      </c>
      <c r="D412" s="3" t="n">
        <f aca="false">Wheat_Yield_Data!D412</f>
        <v>94200</v>
      </c>
      <c r="E412" s="4" t="n">
        <f aca="false">Wheat_Yield_Data!E412</f>
        <v>1763</v>
      </c>
      <c r="F412" s="6" t="s">
        <v>125</v>
      </c>
      <c r="G412" s="2" t="s">
        <v>43</v>
      </c>
      <c r="H412" s="6" t="s">
        <v>126</v>
      </c>
      <c r="I412" s="2" t="s">
        <v>100</v>
      </c>
      <c r="J412" s="6" t="s">
        <v>525</v>
      </c>
    </row>
    <row r="413" customFormat="false" ht="35.05" hidden="false" customHeight="false" outlineLevel="0" collapsed="false">
      <c r="A413" s="2" t="str">
        <f aca="false">Wheat_Yield_Data!A413</f>
        <v>T.T. Singh</v>
      </c>
      <c r="B413" s="2" t="str">
        <f aca="false">Wheat_Yield_Data!B413</f>
        <v>2010-11</v>
      </c>
      <c r="C413" s="3" t="n">
        <f aca="false">Wheat_Yield_Data!C413</f>
        <v>156610</v>
      </c>
      <c r="D413" s="3" t="n">
        <f aca="false">Wheat_Yield_Data!D413</f>
        <v>538780</v>
      </c>
      <c r="E413" s="4" t="n">
        <f aca="false">Wheat_Yield_Data!E413</f>
        <v>3440</v>
      </c>
      <c r="F413" s="6" t="s">
        <v>98</v>
      </c>
      <c r="G413" s="2" t="s">
        <v>11</v>
      </c>
      <c r="H413" s="6" t="s">
        <v>99</v>
      </c>
      <c r="I413" s="2" t="s">
        <v>100</v>
      </c>
      <c r="J413" s="6" t="s">
        <v>526</v>
      </c>
    </row>
    <row r="414" customFormat="false" ht="35.05" hidden="false" customHeight="false" outlineLevel="0" collapsed="false">
      <c r="A414" s="2" t="str">
        <f aca="false">Wheat_Yield_Data!A414</f>
        <v>T.T. Singh</v>
      </c>
      <c r="B414" s="2" t="str">
        <f aca="false">Wheat_Yield_Data!B414</f>
        <v>2011-12</v>
      </c>
      <c r="C414" s="3" t="n">
        <f aca="false">Wheat_Yield_Data!C414</f>
        <v>152570</v>
      </c>
      <c r="D414" s="3" t="n">
        <f aca="false">Wheat_Yield_Data!D414</f>
        <v>475750</v>
      </c>
      <c r="E414" s="4" t="n">
        <f aca="false">Wheat_Yield_Data!E414</f>
        <v>3118</v>
      </c>
      <c r="F414" s="6" t="s">
        <v>102</v>
      </c>
      <c r="G414" s="2" t="s">
        <v>11</v>
      </c>
      <c r="H414" s="6" t="s">
        <v>99</v>
      </c>
      <c r="I414" s="2" t="s">
        <v>100</v>
      </c>
      <c r="J414" s="6" t="s">
        <v>527</v>
      </c>
    </row>
    <row r="415" customFormat="false" ht="46.25" hidden="false" customHeight="false" outlineLevel="0" collapsed="false">
      <c r="A415" s="2" t="str">
        <f aca="false">Wheat_Yield_Data!A415</f>
        <v>T.T. Singh</v>
      </c>
      <c r="B415" s="2" t="str">
        <f aca="false">Wheat_Yield_Data!B415</f>
        <v>2012-13</v>
      </c>
      <c r="C415" s="3" t="n">
        <f aca="false">Wheat_Yield_Data!C415</f>
        <v>153780</v>
      </c>
      <c r="D415" s="3" t="n">
        <f aca="false">Wheat_Yield_Data!D415</f>
        <v>505920</v>
      </c>
      <c r="E415" s="4" t="n">
        <f aca="false">Wheat_Yield_Data!E415</f>
        <v>3290</v>
      </c>
      <c r="F415" s="6" t="s">
        <v>104</v>
      </c>
      <c r="G415" s="2" t="s">
        <v>18</v>
      </c>
      <c r="H415" s="6" t="s">
        <v>99</v>
      </c>
      <c r="I415" s="2" t="s">
        <v>100</v>
      </c>
      <c r="J415" s="6" t="s">
        <v>528</v>
      </c>
    </row>
    <row r="416" customFormat="false" ht="35.05" hidden="false" customHeight="false" outlineLevel="0" collapsed="false">
      <c r="A416" s="2" t="str">
        <f aca="false">Wheat_Yield_Data!A416</f>
        <v>T.T. Singh</v>
      </c>
      <c r="B416" s="2" t="str">
        <f aca="false">Wheat_Yield_Data!B416</f>
        <v>2013-14</v>
      </c>
      <c r="C416" s="3" t="n">
        <f aca="false">Wheat_Yield_Data!C416</f>
        <v>171580</v>
      </c>
      <c r="D416" s="3" t="n">
        <f aca="false">Wheat_Yield_Data!D416</f>
        <v>568140</v>
      </c>
      <c r="E416" s="4" t="n">
        <f aca="false">Wheat_Yield_Data!E416</f>
        <v>3311</v>
      </c>
      <c r="F416" s="6" t="s">
        <v>106</v>
      </c>
      <c r="G416" s="2" t="s">
        <v>18</v>
      </c>
      <c r="H416" s="6" t="s">
        <v>99</v>
      </c>
      <c r="I416" s="2" t="s">
        <v>100</v>
      </c>
      <c r="J416" s="6" t="s">
        <v>529</v>
      </c>
    </row>
    <row r="417" customFormat="false" ht="35.05" hidden="false" customHeight="false" outlineLevel="0" collapsed="false">
      <c r="A417" s="2" t="str">
        <f aca="false">Wheat_Yield_Data!A417</f>
        <v>T.T. Singh</v>
      </c>
      <c r="B417" s="2" t="str">
        <f aca="false">Wheat_Yield_Data!B417</f>
        <v>2014-15</v>
      </c>
      <c r="C417" s="3" t="n">
        <f aca="false">Wheat_Yield_Data!C417</f>
        <v>167540</v>
      </c>
      <c r="D417" s="3" t="n">
        <f aca="false">Wheat_Yield_Data!D417</f>
        <v>553660</v>
      </c>
      <c r="E417" s="4" t="n">
        <f aca="false">Wheat_Yield_Data!E417</f>
        <v>3305</v>
      </c>
      <c r="F417" s="6" t="s">
        <v>108</v>
      </c>
      <c r="G417" s="2" t="s">
        <v>23</v>
      </c>
      <c r="H417" s="6" t="s">
        <v>99</v>
      </c>
      <c r="I417" s="2" t="s">
        <v>100</v>
      </c>
      <c r="J417" s="6" t="s">
        <v>530</v>
      </c>
    </row>
    <row r="418" customFormat="false" ht="35.05" hidden="false" customHeight="false" outlineLevel="0" collapsed="false">
      <c r="A418" s="2" t="str">
        <f aca="false">Wheat_Yield_Data!A418</f>
        <v>T.T. Singh</v>
      </c>
      <c r="B418" s="2" t="str">
        <f aca="false">Wheat_Yield_Data!B418</f>
        <v>2015-16</v>
      </c>
      <c r="C418" s="3" t="n">
        <f aca="false">Wheat_Yield_Data!C418</f>
        <v>168750</v>
      </c>
      <c r="D418" s="3" t="n">
        <f aca="false">Wheat_Yield_Data!D418</f>
        <v>569970</v>
      </c>
      <c r="E418" s="4" t="n">
        <f aca="false">Wheat_Yield_Data!E418</f>
        <v>3378</v>
      </c>
      <c r="F418" s="6" t="s">
        <v>110</v>
      </c>
      <c r="G418" s="2" t="s">
        <v>23</v>
      </c>
      <c r="H418" s="6" t="s">
        <v>99</v>
      </c>
      <c r="I418" s="2" t="s">
        <v>100</v>
      </c>
      <c r="J418" s="6" t="s">
        <v>531</v>
      </c>
    </row>
    <row r="419" customFormat="false" ht="46.25" hidden="false" customHeight="false" outlineLevel="0" collapsed="false">
      <c r="A419" s="2" t="str">
        <f aca="false">Wheat_Yield_Data!A419</f>
        <v>T.T. Singh</v>
      </c>
      <c r="B419" s="2" t="str">
        <f aca="false">Wheat_Yield_Data!B419</f>
        <v>2016-17</v>
      </c>
      <c r="C419" s="3" t="n">
        <f aca="false">Wheat_Yield_Data!C419</f>
        <v>165520</v>
      </c>
      <c r="D419" s="3" t="n">
        <f aca="false">Wheat_Yield_Data!D419</f>
        <v>582540</v>
      </c>
      <c r="E419" s="4" t="n">
        <f aca="false">Wheat_Yield_Data!E419</f>
        <v>3520</v>
      </c>
      <c r="F419" s="6" t="s">
        <v>113</v>
      </c>
      <c r="G419" s="2" t="s">
        <v>29</v>
      </c>
      <c r="H419" s="6" t="s">
        <v>114</v>
      </c>
      <c r="I419" s="2" t="s">
        <v>100</v>
      </c>
      <c r="J419" s="6" t="s">
        <v>532</v>
      </c>
    </row>
    <row r="420" customFormat="false" ht="46.25" hidden="false" customHeight="false" outlineLevel="0" collapsed="false">
      <c r="A420" s="2" t="str">
        <f aca="false">Wheat_Yield_Data!A420</f>
        <v>T.T. Singh</v>
      </c>
      <c r="B420" s="2" t="str">
        <f aca="false">Wheat_Yield_Data!B420</f>
        <v>2017-18</v>
      </c>
      <c r="C420" s="3" t="n">
        <f aca="false">Wheat_Yield_Data!C420</f>
        <v>163090</v>
      </c>
      <c r="D420" s="3" t="n">
        <f aca="false">Wheat_Yield_Data!D420</f>
        <v>552030</v>
      </c>
      <c r="E420" s="4" t="n">
        <f aca="false">Wheat_Yield_Data!E420</f>
        <v>3385</v>
      </c>
      <c r="F420" s="6" t="s">
        <v>116</v>
      </c>
      <c r="G420" s="2" t="s">
        <v>29</v>
      </c>
      <c r="H420" s="6" t="s">
        <v>114</v>
      </c>
      <c r="I420" s="2" t="s">
        <v>100</v>
      </c>
      <c r="J420" s="6" t="s">
        <v>533</v>
      </c>
    </row>
    <row r="421" customFormat="false" ht="46.25" hidden="false" customHeight="false" outlineLevel="0" collapsed="false">
      <c r="A421" s="2" t="str">
        <f aca="false">Wheat_Yield_Data!A421</f>
        <v>T.T. Singh</v>
      </c>
      <c r="B421" s="2" t="str">
        <f aca="false">Wheat_Yield_Data!B421</f>
        <v>2018-19</v>
      </c>
      <c r="C421" s="3" t="n">
        <f aca="false">Wheat_Yield_Data!C421</f>
        <v>159040</v>
      </c>
      <c r="D421" s="3" t="n">
        <f aca="false">Wheat_Yield_Data!D421</f>
        <v>535400</v>
      </c>
      <c r="E421" s="4" t="n">
        <f aca="false">Wheat_Yield_Data!E421</f>
        <v>3366</v>
      </c>
      <c r="F421" s="6" t="s">
        <v>118</v>
      </c>
      <c r="G421" s="2" t="s">
        <v>34</v>
      </c>
      <c r="H421" s="6" t="s">
        <v>114</v>
      </c>
      <c r="I421" s="2" t="s">
        <v>100</v>
      </c>
      <c r="J421" s="6" t="s">
        <v>534</v>
      </c>
    </row>
    <row r="422" customFormat="false" ht="35.05" hidden="false" customHeight="false" outlineLevel="0" collapsed="false">
      <c r="A422" s="2" t="str">
        <f aca="false">Wheat_Yield_Data!A422</f>
        <v>T.T. Singh</v>
      </c>
      <c r="B422" s="2" t="str">
        <f aca="false">Wheat_Yield_Data!B422</f>
        <v>2020-21</v>
      </c>
      <c r="C422" s="3" t="n">
        <f aca="false">Wheat_Yield_Data!C422</f>
        <v>156210</v>
      </c>
      <c r="D422" s="3" t="n">
        <f aca="false">Wheat_Yield_Data!D422</f>
        <v>541790</v>
      </c>
      <c r="E422" s="4" t="n">
        <f aca="false">Wheat_Yield_Data!E422</f>
        <v>3468</v>
      </c>
      <c r="F422" s="6" t="s">
        <v>120</v>
      </c>
      <c r="G422" s="2" t="s">
        <v>37</v>
      </c>
      <c r="H422" s="6" t="s">
        <v>121</v>
      </c>
      <c r="I422" s="2" t="s">
        <v>100</v>
      </c>
      <c r="J422" s="6" t="s">
        <v>535</v>
      </c>
    </row>
    <row r="423" customFormat="false" ht="35.05" hidden="false" customHeight="false" outlineLevel="0" collapsed="false">
      <c r="A423" s="2" t="str">
        <f aca="false">Wheat_Yield_Data!A423</f>
        <v>T.T. Singh</v>
      </c>
      <c r="B423" s="2" t="str">
        <f aca="false">Wheat_Yield_Data!B423</f>
        <v>2021-22</v>
      </c>
      <c r="C423" s="3" t="n">
        <f aca="false">Wheat_Yield_Data!C423</f>
        <v>135160</v>
      </c>
      <c r="D423" s="3" t="n">
        <f aca="false">Wheat_Yield_Data!D423</f>
        <v>451300</v>
      </c>
      <c r="E423" s="4" t="n">
        <f aca="false">Wheat_Yield_Data!E423</f>
        <v>3339</v>
      </c>
      <c r="F423" s="6" t="s">
        <v>123</v>
      </c>
      <c r="G423" s="2" t="s">
        <v>37</v>
      </c>
      <c r="H423" s="6" t="s">
        <v>121</v>
      </c>
      <c r="I423" s="2" t="s">
        <v>100</v>
      </c>
      <c r="J423" s="6" t="s">
        <v>536</v>
      </c>
    </row>
    <row r="424" customFormat="false" ht="23.85" hidden="false" customHeight="false" outlineLevel="0" collapsed="false">
      <c r="A424" s="2" t="str">
        <f aca="false">Wheat_Yield_Data!A424</f>
        <v>T.T. Singh</v>
      </c>
      <c r="B424" s="2" t="str">
        <f aca="false">Wheat_Yield_Data!B424</f>
        <v>2022-23</v>
      </c>
      <c r="C424" s="3" t="n">
        <f aca="false">Wheat_Yield_Data!C424</f>
        <v>130300</v>
      </c>
      <c r="D424" s="3" t="n">
        <f aca="false">Wheat_Yield_Data!D424</f>
        <v>470500</v>
      </c>
      <c r="E424" s="4" t="n">
        <f aca="false">Wheat_Yield_Data!E424</f>
        <v>3611</v>
      </c>
      <c r="F424" s="6" t="s">
        <v>125</v>
      </c>
      <c r="G424" s="2" t="s">
        <v>43</v>
      </c>
      <c r="H424" s="6" t="s">
        <v>126</v>
      </c>
      <c r="I424" s="2" t="s">
        <v>100</v>
      </c>
      <c r="J424" s="6" t="s">
        <v>537</v>
      </c>
    </row>
    <row r="425" customFormat="false" ht="35.05" hidden="false" customHeight="false" outlineLevel="0" collapsed="false">
      <c r="A425" s="2" t="str">
        <f aca="false">Wheat_Yield_Data!A425</f>
        <v>Vehari</v>
      </c>
      <c r="B425" s="2" t="str">
        <f aca="false">Wheat_Yield_Data!B425</f>
        <v>2010-11</v>
      </c>
      <c r="C425" s="3" t="n">
        <f aca="false">Wheat_Yield_Data!C425</f>
        <v>243210</v>
      </c>
      <c r="D425" s="3" t="n">
        <f aca="false">Wheat_Yield_Data!D425</f>
        <v>767180</v>
      </c>
      <c r="E425" s="4" t="n">
        <f aca="false">Wheat_Yield_Data!E425</f>
        <v>3154</v>
      </c>
      <c r="F425" s="6" t="s">
        <v>98</v>
      </c>
      <c r="G425" s="2" t="s">
        <v>11</v>
      </c>
      <c r="H425" s="6" t="s">
        <v>99</v>
      </c>
      <c r="I425" s="2" t="s">
        <v>100</v>
      </c>
      <c r="J425" s="6" t="s">
        <v>538</v>
      </c>
    </row>
    <row r="426" customFormat="false" ht="35.05" hidden="false" customHeight="false" outlineLevel="0" collapsed="false">
      <c r="A426" s="2" t="str">
        <f aca="false">Wheat_Yield_Data!A426</f>
        <v>Vehari</v>
      </c>
      <c r="B426" s="2" t="str">
        <f aca="false">Wheat_Yield_Data!B426</f>
        <v>2011-12</v>
      </c>
      <c r="C426" s="3" t="n">
        <f aca="false">Wheat_Yield_Data!C426</f>
        <v>235520</v>
      </c>
      <c r="D426" s="3" t="n">
        <f aca="false">Wheat_Yield_Data!D426</f>
        <v>756170</v>
      </c>
      <c r="E426" s="4" t="n">
        <f aca="false">Wheat_Yield_Data!E426</f>
        <v>3211</v>
      </c>
      <c r="F426" s="6" t="s">
        <v>102</v>
      </c>
      <c r="G426" s="2" t="s">
        <v>11</v>
      </c>
      <c r="H426" s="6" t="s">
        <v>99</v>
      </c>
      <c r="I426" s="2" t="s">
        <v>100</v>
      </c>
      <c r="J426" s="6" t="s">
        <v>539</v>
      </c>
    </row>
    <row r="427" customFormat="false" ht="46.25" hidden="false" customHeight="false" outlineLevel="0" collapsed="false">
      <c r="A427" s="2" t="str">
        <f aca="false">Wheat_Yield_Data!A427</f>
        <v>Vehari</v>
      </c>
      <c r="B427" s="2" t="str">
        <f aca="false">Wheat_Yield_Data!B427</f>
        <v>2012-13</v>
      </c>
      <c r="C427" s="3" t="n">
        <f aca="false">Wheat_Yield_Data!C427</f>
        <v>250900</v>
      </c>
      <c r="D427" s="3" t="n">
        <f aca="false">Wheat_Yield_Data!D427</f>
        <v>821280</v>
      </c>
      <c r="E427" s="4" t="n">
        <f aca="false">Wheat_Yield_Data!E427</f>
        <v>3273</v>
      </c>
      <c r="F427" s="6" t="s">
        <v>104</v>
      </c>
      <c r="G427" s="2" t="s">
        <v>18</v>
      </c>
      <c r="H427" s="6" t="s">
        <v>99</v>
      </c>
      <c r="I427" s="2" t="s">
        <v>100</v>
      </c>
      <c r="J427" s="6" t="s">
        <v>540</v>
      </c>
    </row>
    <row r="428" customFormat="false" ht="35.05" hidden="false" customHeight="false" outlineLevel="0" collapsed="false">
      <c r="A428" s="2" t="str">
        <f aca="false">Wheat_Yield_Data!A428</f>
        <v>Vehari</v>
      </c>
      <c r="B428" s="2" t="str">
        <f aca="false">Wheat_Yield_Data!B428</f>
        <v>2013-14</v>
      </c>
      <c r="C428" s="3" t="n">
        <f aca="false">Wheat_Yield_Data!C428</f>
        <v>267500</v>
      </c>
      <c r="D428" s="3" t="n">
        <f aca="false">Wheat_Yield_Data!D428</f>
        <v>884830</v>
      </c>
      <c r="E428" s="4" t="n">
        <f aca="false">Wheat_Yield_Data!E428</f>
        <v>3307</v>
      </c>
      <c r="F428" s="6" t="s">
        <v>106</v>
      </c>
      <c r="G428" s="2" t="s">
        <v>18</v>
      </c>
      <c r="H428" s="6" t="s">
        <v>99</v>
      </c>
      <c r="I428" s="2" t="s">
        <v>100</v>
      </c>
      <c r="J428" s="6" t="s">
        <v>541</v>
      </c>
    </row>
    <row r="429" customFormat="false" ht="35.05" hidden="false" customHeight="false" outlineLevel="0" collapsed="false">
      <c r="A429" s="2" t="str">
        <f aca="false">Wheat_Yield_Data!A429</f>
        <v>Vehari</v>
      </c>
      <c r="B429" s="2" t="str">
        <f aca="false">Wheat_Yield_Data!B429</f>
        <v>2014-15</v>
      </c>
      <c r="C429" s="3" t="n">
        <f aca="false">Wheat_Yield_Data!C429</f>
        <v>273160</v>
      </c>
      <c r="D429" s="3" t="n">
        <f aca="false">Wheat_Yield_Data!D429</f>
        <v>898670</v>
      </c>
      <c r="E429" s="4" t="n">
        <f aca="false">Wheat_Yield_Data!E429</f>
        <v>3290</v>
      </c>
      <c r="F429" s="6" t="s">
        <v>108</v>
      </c>
      <c r="G429" s="2" t="s">
        <v>23</v>
      </c>
      <c r="H429" s="6" t="s">
        <v>99</v>
      </c>
      <c r="I429" s="2" t="s">
        <v>100</v>
      </c>
      <c r="J429" s="6" t="s">
        <v>542</v>
      </c>
    </row>
    <row r="430" customFormat="false" ht="35.05" hidden="false" customHeight="false" outlineLevel="0" collapsed="false">
      <c r="A430" s="2" t="str">
        <f aca="false">Wheat_Yield_Data!A430</f>
        <v>Vehari</v>
      </c>
      <c r="B430" s="2" t="str">
        <f aca="false">Wheat_Yield_Data!B430</f>
        <v>2015-16</v>
      </c>
      <c r="C430" s="3" t="n">
        <f aca="false">Wheat_Yield_Data!C430</f>
        <v>270730</v>
      </c>
      <c r="D430" s="3" t="n">
        <f aca="false">Wheat_Yield_Data!D430</f>
        <v>885940</v>
      </c>
      <c r="E430" s="4" t="n">
        <f aca="false">Wheat_Yield_Data!E430</f>
        <v>3272</v>
      </c>
      <c r="F430" s="6" t="s">
        <v>110</v>
      </c>
      <c r="G430" s="2" t="s">
        <v>23</v>
      </c>
      <c r="H430" s="6" t="s">
        <v>99</v>
      </c>
      <c r="I430" s="2" t="s">
        <v>100</v>
      </c>
      <c r="J430" s="6" t="s">
        <v>543</v>
      </c>
    </row>
    <row r="431" customFormat="false" ht="46.25" hidden="false" customHeight="false" outlineLevel="0" collapsed="false">
      <c r="A431" s="2" t="str">
        <f aca="false">Wheat_Yield_Data!A431</f>
        <v>Vehari</v>
      </c>
      <c r="B431" s="2" t="str">
        <f aca="false">Wheat_Yield_Data!B431</f>
        <v>2016-17</v>
      </c>
      <c r="C431" s="3" t="n">
        <f aca="false">Wheat_Yield_Data!C431</f>
        <v>253330</v>
      </c>
      <c r="D431" s="3" t="n">
        <f aca="false">Wheat_Yield_Data!D431</f>
        <v>852830</v>
      </c>
      <c r="E431" s="4" t="n">
        <f aca="false">Wheat_Yield_Data!E431</f>
        <v>3366</v>
      </c>
      <c r="F431" s="6" t="s">
        <v>113</v>
      </c>
      <c r="G431" s="2" t="s">
        <v>29</v>
      </c>
      <c r="H431" s="6" t="s">
        <v>114</v>
      </c>
      <c r="I431" s="2" t="s">
        <v>100</v>
      </c>
      <c r="J431" s="6" t="s">
        <v>544</v>
      </c>
    </row>
    <row r="432" customFormat="false" ht="46.25" hidden="false" customHeight="false" outlineLevel="0" collapsed="false">
      <c r="A432" s="2" t="str">
        <f aca="false">Wheat_Yield_Data!A432</f>
        <v>Vehari</v>
      </c>
      <c r="B432" s="2" t="str">
        <f aca="false">Wheat_Yield_Data!B432</f>
        <v>2017-18</v>
      </c>
      <c r="C432" s="3" t="n">
        <f aca="false">Wheat_Yield_Data!C432</f>
        <v>244830</v>
      </c>
      <c r="D432" s="3" t="n">
        <f aca="false">Wheat_Yield_Data!D432</f>
        <v>798480</v>
      </c>
      <c r="E432" s="4" t="n">
        <f aca="false">Wheat_Yield_Data!E432</f>
        <v>3261</v>
      </c>
      <c r="F432" s="6" t="s">
        <v>116</v>
      </c>
      <c r="G432" s="2" t="s">
        <v>29</v>
      </c>
      <c r="H432" s="6" t="s">
        <v>114</v>
      </c>
      <c r="I432" s="2" t="s">
        <v>100</v>
      </c>
      <c r="J432" s="6" t="s">
        <v>545</v>
      </c>
    </row>
    <row r="433" customFormat="false" ht="46.25" hidden="false" customHeight="false" outlineLevel="0" collapsed="false">
      <c r="A433" s="2" t="str">
        <f aca="false">Wheat_Yield_Data!A433</f>
        <v>Vehari</v>
      </c>
      <c r="B433" s="2" t="str">
        <f aca="false">Wheat_Yield_Data!B433</f>
        <v>2018-19</v>
      </c>
      <c r="C433" s="3" t="n">
        <f aca="false">Wheat_Yield_Data!C433</f>
        <v>214480</v>
      </c>
      <c r="D433" s="3" t="n">
        <f aca="false">Wheat_Yield_Data!D433</f>
        <v>656170</v>
      </c>
      <c r="E433" s="4" t="n">
        <f aca="false">Wheat_Yield_Data!E433</f>
        <v>3059</v>
      </c>
      <c r="F433" s="6" t="s">
        <v>118</v>
      </c>
      <c r="G433" s="2" t="s">
        <v>34</v>
      </c>
      <c r="H433" s="6" t="s">
        <v>114</v>
      </c>
      <c r="I433" s="2" t="s">
        <v>100</v>
      </c>
      <c r="J433" s="6" t="s">
        <v>546</v>
      </c>
    </row>
    <row r="434" customFormat="false" ht="35.05" hidden="false" customHeight="false" outlineLevel="0" collapsed="false">
      <c r="A434" s="2" t="str">
        <f aca="false">Wheat_Yield_Data!A434</f>
        <v>Vehari</v>
      </c>
      <c r="B434" s="2" t="str">
        <f aca="false">Wheat_Yield_Data!B434</f>
        <v>2020-21</v>
      </c>
      <c r="C434" s="3" t="n">
        <f aca="false">Wheat_Yield_Data!C434</f>
        <v>193840</v>
      </c>
      <c r="D434" s="3" t="n">
        <f aca="false">Wheat_Yield_Data!D434</f>
        <v>676160</v>
      </c>
      <c r="E434" s="4" t="n">
        <f aca="false">Wheat_Yield_Data!E434</f>
        <v>3488</v>
      </c>
      <c r="F434" s="6" t="s">
        <v>120</v>
      </c>
      <c r="G434" s="2" t="s">
        <v>37</v>
      </c>
      <c r="H434" s="6" t="s">
        <v>121</v>
      </c>
      <c r="I434" s="2" t="s">
        <v>100</v>
      </c>
      <c r="J434" s="6" t="s">
        <v>547</v>
      </c>
    </row>
    <row r="435" customFormat="false" ht="35.05" hidden="false" customHeight="false" outlineLevel="0" collapsed="false">
      <c r="A435" s="2" t="str">
        <f aca="false">Wheat_Yield_Data!A435</f>
        <v>Vehari</v>
      </c>
      <c r="B435" s="2" t="str">
        <f aca="false">Wheat_Yield_Data!B435</f>
        <v>2021-22</v>
      </c>
      <c r="C435" s="3" t="n">
        <f aca="false">Wheat_Yield_Data!C435</f>
        <v>180490</v>
      </c>
      <c r="D435" s="3" t="n">
        <f aca="false">Wheat_Yield_Data!D435</f>
        <v>629040</v>
      </c>
      <c r="E435" s="4" t="n">
        <f aca="false">Wheat_Yield_Data!E435</f>
        <v>3485</v>
      </c>
      <c r="F435" s="6" t="s">
        <v>123</v>
      </c>
      <c r="G435" s="2" t="s">
        <v>37</v>
      </c>
      <c r="H435" s="6" t="s">
        <v>121</v>
      </c>
      <c r="I435" s="2" t="s">
        <v>100</v>
      </c>
      <c r="J435" s="6" t="s">
        <v>548</v>
      </c>
    </row>
    <row r="436" customFormat="false" ht="23.85" hidden="false" customHeight="false" outlineLevel="0" collapsed="false">
      <c r="A436" s="2" t="str">
        <f aca="false">Wheat_Yield_Data!A436</f>
        <v>Vehari</v>
      </c>
      <c r="B436" s="2" t="str">
        <f aca="false">Wheat_Yield_Data!B436</f>
        <v>2022-23</v>
      </c>
      <c r="C436" s="3" t="n">
        <f aca="false">Wheat_Yield_Data!C436</f>
        <v>159900</v>
      </c>
      <c r="D436" s="3" t="n">
        <f aca="false">Wheat_Yield_Data!D436</f>
        <v>594200</v>
      </c>
      <c r="E436" s="4" t="n">
        <f aca="false">Wheat_Yield_Data!E436</f>
        <v>3718</v>
      </c>
      <c r="F436" s="6" t="s">
        <v>125</v>
      </c>
      <c r="G436" s="2" t="s">
        <v>43</v>
      </c>
      <c r="H436" s="6" t="s">
        <v>126</v>
      </c>
      <c r="I436" s="2" t="s">
        <v>100</v>
      </c>
      <c r="J436" s="6" t="s">
        <v>549</v>
      </c>
    </row>
    <row r="437" customFormat="false" ht="23.85" hidden="false" customHeight="false" outlineLevel="0" collapsed="false">
      <c r="A437" s="2" t="str">
        <f aca="false">Wheat_Yield_Data!A437</f>
        <v>Wazirabad</v>
      </c>
      <c r="B437" s="2" t="str">
        <f aca="false">Wheat_Yield_Data!B437</f>
        <v>2022-23</v>
      </c>
      <c r="C437" s="3" t="n">
        <f aca="false">Wheat_Yield_Data!C437</f>
        <v>73700</v>
      </c>
      <c r="D437" s="3" t="n">
        <f aca="false">Wheat_Yield_Data!D437</f>
        <v>235000</v>
      </c>
      <c r="E437" s="4" t="n">
        <f aca="false">Wheat_Yield_Data!E437</f>
        <v>3191</v>
      </c>
      <c r="F437" s="6" t="s">
        <v>125</v>
      </c>
      <c r="G437" s="2" t="s">
        <v>43</v>
      </c>
      <c r="H437" s="6" t="s">
        <v>126</v>
      </c>
      <c r="I437" s="2" t="s">
        <v>100</v>
      </c>
      <c r="J437" s="6" t="s">
        <v>550</v>
      </c>
    </row>
  </sheetData>
  <autoFilter ref="A1:J43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0"/>
    <col collapsed="false" customWidth="true" hidden="false" outlineLevel="0" max="3" min="3" style="0" width="50"/>
    <col collapsed="false" customWidth="true" hidden="false" outlineLevel="0" max="4" min="4" style="0" width="70"/>
    <col collapsed="false" customWidth="true" hidden="false" outlineLevel="0" max="5" min="5" style="0" width="80"/>
  </cols>
  <sheetData>
    <row r="1" customFormat="false" ht="31.5" hidden="false" customHeight="true" outlineLevel="0" collapsed="false">
      <c r="A1" s="1" t="s">
        <v>0</v>
      </c>
      <c r="B1" s="1" t="s">
        <v>1</v>
      </c>
      <c r="C1" s="1" t="s">
        <v>551</v>
      </c>
      <c r="D1" s="1" t="s">
        <v>552</v>
      </c>
      <c r="E1" s="1" t="s">
        <v>553</v>
      </c>
    </row>
    <row r="2" customFormat="false" ht="35.05" hidden="false" customHeight="false" outlineLevel="0" collapsed="false">
      <c r="A2" s="2" t="s">
        <v>8</v>
      </c>
      <c r="B2" s="2" t="s">
        <v>554</v>
      </c>
      <c r="C2" s="6" t="s">
        <v>555</v>
      </c>
      <c r="D2" s="6" t="s">
        <v>556</v>
      </c>
      <c r="E2" s="6" t="s">
        <v>557</v>
      </c>
    </row>
    <row r="3" customFormat="false" ht="35.05" hidden="false" customHeight="false" outlineLevel="0" collapsed="false">
      <c r="A3" s="2" t="s">
        <v>44</v>
      </c>
      <c r="B3" s="2" t="s">
        <v>554</v>
      </c>
      <c r="C3" s="6" t="s">
        <v>555</v>
      </c>
      <c r="D3" s="6" t="s">
        <v>556</v>
      </c>
      <c r="E3" s="6" t="s">
        <v>557</v>
      </c>
    </row>
    <row r="4" customFormat="false" ht="35.05" hidden="false" customHeight="false" outlineLevel="0" collapsed="false">
      <c r="A4" s="2" t="s">
        <v>45</v>
      </c>
      <c r="B4" s="2" t="s">
        <v>554</v>
      </c>
      <c r="C4" s="6" t="s">
        <v>555</v>
      </c>
      <c r="D4" s="6" t="s">
        <v>556</v>
      </c>
      <c r="E4" s="6" t="s">
        <v>557</v>
      </c>
    </row>
    <row r="5" customFormat="false" ht="35.05" hidden="false" customHeight="false" outlineLevel="0" collapsed="false">
      <c r="A5" s="2" t="s">
        <v>46</v>
      </c>
      <c r="B5" s="2" t="s">
        <v>554</v>
      </c>
      <c r="C5" s="6" t="s">
        <v>555</v>
      </c>
      <c r="D5" s="6" t="s">
        <v>556</v>
      </c>
      <c r="E5" s="6" t="s">
        <v>557</v>
      </c>
    </row>
    <row r="6" customFormat="false" ht="35.05" hidden="false" customHeight="false" outlineLevel="0" collapsed="false">
      <c r="A6" s="2" t="s">
        <v>47</v>
      </c>
      <c r="B6" s="2" t="s">
        <v>554</v>
      </c>
      <c r="C6" s="6" t="s">
        <v>555</v>
      </c>
      <c r="D6" s="6" t="s">
        <v>556</v>
      </c>
      <c r="E6" s="6" t="s">
        <v>557</v>
      </c>
    </row>
    <row r="7" customFormat="false" ht="35.05" hidden="false" customHeight="false" outlineLevel="0" collapsed="false">
      <c r="A7" s="2" t="s">
        <v>49</v>
      </c>
      <c r="B7" s="2" t="s">
        <v>554</v>
      </c>
      <c r="C7" s="6" t="s">
        <v>555</v>
      </c>
      <c r="D7" s="6" t="s">
        <v>556</v>
      </c>
      <c r="E7" s="6" t="s">
        <v>557</v>
      </c>
    </row>
    <row r="8" customFormat="false" ht="35.05" hidden="false" customHeight="false" outlineLevel="0" collapsed="false">
      <c r="A8" s="2" t="s">
        <v>558</v>
      </c>
      <c r="B8" s="2" t="s">
        <v>554</v>
      </c>
      <c r="C8" s="6" t="s">
        <v>555</v>
      </c>
      <c r="D8" s="6" t="s">
        <v>556</v>
      </c>
      <c r="E8" s="6" t="s">
        <v>557</v>
      </c>
    </row>
    <row r="9" customFormat="false" ht="35.05" hidden="false" customHeight="false" outlineLevel="0" collapsed="false">
      <c r="A9" s="2" t="s">
        <v>51</v>
      </c>
      <c r="B9" s="2" t="s">
        <v>554</v>
      </c>
      <c r="C9" s="6" t="s">
        <v>555</v>
      </c>
      <c r="D9" s="6" t="s">
        <v>556</v>
      </c>
      <c r="E9" s="6" t="s">
        <v>557</v>
      </c>
    </row>
    <row r="10" customFormat="false" ht="35.05" hidden="false" customHeight="false" outlineLevel="0" collapsed="false">
      <c r="A10" s="2" t="s">
        <v>52</v>
      </c>
      <c r="B10" s="2" t="s">
        <v>554</v>
      </c>
      <c r="C10" s="6" t="s">
        <v>555</v>
      </c>
      <c r="D10" s="6" t="s">
        <v>556</v>
      </c>
      <c r="E10" s="6" t="s">
        <v>557</v>
      </c>
    </row>
    <row r="11" customFormat="false" ht="35.05" hidden="false" customHeight="false" outlineLevel="0" collapsed="false">
      <c r="A11" s="2" t="s">
        <v>54</v>
      </c>
      <c r="B11" s="2" t="s">
        <v>554</v>
      </c>
      <c r="C11" s="6" t="s">
        <v>555</v>
      </c>
      <c r="D11" s="6" t="s">
        <v>556</v>
      </c>
      <c r="E11" s="6" t="s">
        <v>557</v>
      </c>
    </row>
    <row r="12" customFormat="false" ht="35.05" hidden="false" customHeight="false" outlineLevel="0" collapsed="false">
      <c r="A12" s="2" t="s">
        <v>55</v>
      </c>
      <c r="B12" s="2" t="s">
        <v>554</v>
      </c>
      <c r="C12" s="6" t="s">
        <v>555</v>
      </c>
      <c r="D12" s="6" t="s">
        <v>556</v>
      </c>
      <c r="E12" s="6" t="s">
        <v>557</v>
      </c>
    </row>
    <row r="13" customFormat="false" ht="35.05" hidden="false" customHeight="false" outlineLevel="0" collapsed="false">
      <c r="A13" s="2" t="s">
        <v>56</v>
      </c>
      <c r="B13" s="2" t="s">
        <v>554</v>
      </c>
      <c r="C13" s="6" t="s">
        <v>555</v>
      </c>
      <c r="D13" s="6" t="s">
        <v>556</v>
      </c>
      <c r="E13" s="6" t="s">
        <v>557</v>
      </c>
    </row>
    <row r="14" customFormat="false" ht="35.05" hidden="false" customHeight="false" outlineLevel="0" collapsed="false">
      <c r="A14" s="2" t="s">
        <v>57</v>
      </c>
      <c r="B14" s="2" t="s">
        <v>554</v>
      </c>
      <c r="C14" s="6" t="s">
        <v>555</v>
      </c>
      <c r="D14" s="6" t="s">
        <v>556</v>
      </c>
      <c r="E14" s="6" t="s">
        <v>557</v>
      </c>
    </row>
    <row r="15" customFormat="false" ht="35.05" hidden="false" customHeight="false" outlineLevel="0" collapsed="false">
      <c r="A15" s="2" t="s">
        <v>58</v>
      </c>
      <c r="B15" s="2" t="s">
        <v>554</v>
      </c>
      <c r="C15" s="6" t="s">
        <v>555</v>
      </c>
      <c r="D15" s="6" t="s">
        <v>556</v>
      </c>
      <c r="E15" s="6" t="s">
        <v>557</v>
      </c>
    </row>
    <row r="16" customFormat="false" ht="35.05" hidden="false" customHeight="false" outlineLevel="0" collapsed="false">
      <c r="A16" s="2" t="s">
        <v>59</v>
      </c>
      <c r="B16" s="2" t="s">
        <v>554</v>
      </c>
      <c r="C16" s="6" t="s">
        <v>555</v>
      </c>
      <c r="D16" s="6" t="s">
        <v>556</v>
      </c>
      <c r="E16" s="6" t="s">
        <v>557</v>
      </c>
    </row>
    <row r="17" customFormat="false" ht="35.05" hidden="false" customHeight="false" outlineLevel="0" collapsed="false">
      <c r="A17" s="2" t="s">
        <v>60</v>
      </c>
      <c r="B17" s="2" t="s">
        <v>554</v>
      </c>
      <c r="C17" s="6" t="s">
        <v>555</v>
      </c>
      <c r="D17" s="6" t="s">
        <v>556</v>
      </c>
      <c r="E17" s="6" t="s">
        <v>557</v>
      </c>
    </row>
    <row r="18" customFormat="false" ht="35.05" hidden="false" customHeight="false" outlineLevel="0" collapsed="false">
      <c r="A18" s="2" t="s">
        <v>63</v>
      </c>
      <c r="B18" s="2" t="s">
        <v>554</v>
      </c>
      <c r="C18" s="6" t="s">
        <v>555</v>
      </c>
      <c r="D18" s="6" t="s">
        <v>556</v>
      </c>
      <c r="E18" s="6" t="s">
        <v>557</v>
      </c>
    </row>
    <row r="19" customFormat="false" ht="35.05" hidden="false" customHeight="false" outlineLevel="0" collapsed="false">
      <c r="A19" s="2" t="s">
        <v>64</v>
      </c>
      <c r="B19" s="2" t="s">
        <v>554</v>
      </c>
      <c r="C19" s="6" t="s">
        <v>555</v>
      </c>
      <c r="D19" s="6" t="s">
        <v>556</v>
      </c>
      <c r="E19" s="6" t="s">
        <v>557</v>
      </c>
    </row>
    <row r="20" customFormat="false" ht="35.05" hidden="false" customHeight="false" outlineLevel="0" collapsed="false">
      <c r="A20" s="2" t="s">
        <v>65</v>
      </c>
      <c r="B20" s="2" t="s">
        <v>554</v>
      </c>
      <c r="C20" s="6" t="s">
        <v>555</v>
      </c>
      <c r="D20" s="6" t="s">
        <v>556</v>
      </c>
      <c r="E20" s="6" t="s">
        <v>557</v>
      </c>
    </row>
    <row r="21" customFormat="false" ht="35.05" hidden="false" customHeight="false" outlineLevel="0" collapsed="false">
      <c r="A21" s="2" t="s">
        <v>559</v>
      </c>
      <c r="B21" s="2" t="s">
        <v>554</v>
      </c>
      <c r="C21" s="6" t="s">
        <v>555</v>
      </c>
      <c r="D21" s="6" t="s">
        <v>556</v>
      </c>
      <c r="E21" s="6" t="s">
        <v>557</v>
      </c>
    </row>
    <row r="22" customFormat="false" ht="35.05" hidden="false" customHeight="false" outlineLevel="0" collapsed="false">
      <c r="A22" s="2" t="s">
        <v>68</v>
      </c>
      <c r="B22" s="2" t="s">
        <v>554</v>
      </c>
      <c r="C22" s="6" t="s">
        <v>555</v>
      </c>
      <c r="D22" s="6" t="s">
        <v>556</v>
      </c>
      <c r="E22" s="6" t="s">
        <v>557</v>
      </c>
    </row>
    <row r="23" customFormat="false" ht="35.05" hidden="false" customHeight="false" outlineLevel="0" collapsed="false">
      <c r="A23" s="2" t="s">
        <v>69</v>
      </c>
      <c r="B23" s="2" t="s">
        <v>554</v>
      </c>
      <c r="C23" s="6" t="s">
        <v>555</v>
      </c>
      <c r="D23" s="6" t="s">
        <v>556</v>
      </c>
      <c r="E23" s="6" t="s">
        <v>557</v>
      </c>
    </row>
    <row r="24" customFormat="false" ht="35.05" hidden="false" customHeight="false" outlineLevel="0" collapsed="false">
      <c r="A24" s="2" t="s">
        <v>71</v>
      </c>
      <c r="B24" s="2" t="s">
        <v>554</v>
      </c>
      <c r="C24" s="6" t="s">
        <v>555</v>
      </c>
      <c r="D24" s="6" t="s">
        <v>556</v>
      </c>
      <c r="E24" s="6" t="s">
        <v>557</v>
      </c>
    </row>
    <row r="25" customFormat="false" ht="35.05" hidden="false" customHeight="false" outlineLevel="0" collapsed="false">
      <c r="A25" s="2" t="s">
        <v>74</v>
      </c>
      <c r="B25" s="2" t="s">
        <v>554</v>
      </c>
      <c r="C25" s="6" t="s">
        <v>555</v>
      </c>
      <c r="D25" s="6" t="s">
        <v>556</v>
      </c>
      <c r="E25" s="6" t="s">
        <v>557</v>
      </c>
    </row>
    <row r="26" customFormat="false" ht="35.05" hidden="false" customHeight="false" outlineLevel="0" collapsed="false">
      <c r="A26" s="2" t="s">
        <v>75</v>
      </c>
      <c r="B26" s="2" t="s">
        <v>554</v>
      </c>
      <c r="C26" s="6" t="s">
        <v>555</v>
      </c>
      <c r="D26" s="6" t="s">
        <v>556</v>
      </c>
      <c r="E26" s="6" t="s">
        <v>557</v>
      </c>
    </row>
    <row r="27" customFormat="false" ht="35.05" hidden="false" customHeight="false" outlineLevel="0" collapsed="false">
      <c r="A27" s="2" t="s">
        <v>76</v>
      </c>
      <c r="B27" s="2" t="s">
        <v>554</v>
      </c>
      <c r="C27" s="6" t="s">
        <v>555</v>
      </c>
      <c r="D27" s="6" t="s">
        <v>556</v>
      </c>
      <c r="E27" s="6" t="s">
        <v>557</v>
      </c>
    </row>
    <row r="28" customFormat="false" ht="35.05" hidden="false" customHeight="false" outlineLevel="0" collapsed="false">
      <c r="A28" s="2" t="s">
        <v>77</v>
      </c>
      <c r="B28" s="2" t="s">
        <v>554</v>
      </c>
      <c r="C28" s="6" t="s">
        <v>555</v>
      </c>
      <c r="D28" s="6" t="s">
        <v>556</v>
      </c>
      <c r="E28" s="6" t="s">
        <v>557</v>
      </c>
    </row>
    <row r="29" customFormat="false" ht="35.05" hidden="false" customHeight="false" outlineLevel="0" collapsed="false">
      <c r="A29" s="2" t="s">
        <v>78</v>
      </c>
      <c r="B29" s="2" t="s">
        <v>554</v>
      </c>
      <c r="C29" s="6" t="s">
        <v>555</v>
      </c>
      <c r="D29" s="6" t="s">
        <v>556</v>
      </c>
      <c r="E29" s="6" t="s">
        <v>557</v>
      </c>
    </row>
    <row r="30" customFormat="false" ht="35.05" hidden="false" customHeight="false" outlineLevel="0" collapsed="false">
      <c r="A30" s="2" t="s">
        <v>560</v>
      </c>
      <c r="B30" s="2" t="s">
        <v>554</v>
      </c>
      <c r="C30" s="6" t="s">
        <v>555</v>
      </c>
      <c r="D30" s="6" t="s">
        <v>556</v>
      </c>
      <c r="E30" s="6" t="s">
        <v>557</v>
      </c>
    </row>
    <row r="31" customFormat="false" ht="35.05" hidden="false" customHeight="false" outlineLevel="0" collapsed="false">
      <c r="A31" s="2" t="s">
        <v>81</v>
      </c>
      <c r="B31" s="2" t="s">
        <v>554</v>
      </c>
      <c r="C31" s="6" t="s">
        <v>555</v>
      </c>
      <c r="D31" s="6" t="s">
        <v>556</v>
      </c>
      <c r="E31" s="6" t="s">
        <v>557</v>
      </c>
    </row>
    <row r="32" customFormat="false" ht="35.05" hidden="false" customHeight="false" outlineLevel="0" collapsed="false">
      <c r="A32" s="2" t="s">
        <v>83</v>
      </c>
      <c r="B32" s="2" t="s">
        <v>554</v>
      </c>
      <c r="C32" s="6" t="s">
        <v>555</v>
      </c>
      <c r="D32" s="6" t="s">
        <v>556</v>
      </c>
      <c r="E32" s="6" t="s">
        <v>557</v>
      </c>
    </row>
    <row r="33" customFormat="false" ht="35.05" hidden="false" customHeight="false" outlineLevel="0" collapsed="false">
      <c r="A33" s="2" t="s">
        <v>84</v>
      </c>
      <c r="B33" s="2" t="s">
        <v>554</v>
      </c>
      <c r="C33" s="6" t="s">
        <v>555</v>
      </c>
      <c r="D33" s="6" t="s">
        <v>556</v>
      </c>
      <c r="E33" s="6" t="s">
        <v>557</v>
      </c>
    </row>
    <row r="34" customFormat="false" ht="35.05" hidden="false" customHeight="false" outlineLevel="0" collapsed="false">
      <c r="A34" s="2" t="s">
        <v>85</v>
      </c>
      <c r="B34" s="2" t="s">
        <v>554</v>
      </c>
      <c r="C34" s="6" t="s">
        <v>555</v>
      </c>
      <c r="D34" s="6" t="s">
        <v>556</v>
      </c>
      <c r="E34" s="6" t="s">
        <v>557</v>
      </c>
    </row>
    <row r="35" customFormat="false" ht="35.05" hidden="false" customHeight="false" outlineLevel="0" collapsed="false">
      <c r="A35" s="2" t="s">
        <v>86</v>
      </c>
      <c r="B35" s="2" t="s">
        <v>554</v>
      </c>
      <c r="C35" s="6" t="s">
        <v>555</v>
      </c>
      <c r="D35" s="6" t="s">
        <v>556</v>
      </c>
      <c r="E35" s="6" t="s">
        <v>557</v>
      </c>
    </row>
    <row r="36" customFormat="false" ht="35.05" hidden="false" customHeight="false" outlineLevel="0" collapsed="false">
      <c r="A36" s="2" t="s">
        <v>561</v>
      </c>
      <c r="B36" s="2" t="s">
        <v>554</v>
      </c>
      <c r="C36" s="6" t="s">
        <v>555</v>
      </c>
      <c r="D36" s="6" t="s">
        <v>556</v>
      </c>
      <c r="E36" s="6" t="s">
        <v>557</v>
      </c>
    </row>
    <row r="37" customFormat="false" ht="35.05" hidden="false" customHeight="false" outlineLevel="0" collapsed="false">
      <c r="A37" s="2" t="s">
        <v>89</v>
      </c>
      <c r="B37" s="2" t="s">
        <v>554</v>
      </c>
      <c r="C37" s="6" t="s">
        <v>555</v>
      </c>
      <c r="D37" s="6" t="s">
        <v>556</v>
      </c>
      <c r="E37" s="6" t="s">
        <v>557</v>
      </c>
    </row>
    <row r="38" customFormat="false" ht="23.85" hidden="false" customHeight="false" outlineLevel="0" collapsed="false">
      <c r="A38" s="2" t="s">
        <v>8</v>
      </c>
      <c r="B38" s="2" t="s">
        <v>562</v>
      </c>
      <c r="C38" s="6" t="s">
        <v>555</v>
      </c>
      <c r="D38" s="6" t="s">
        <v>563</v>
      </c>
      <c r="E38" s="6" t="s">
        <v>564</v>
      </c>
    </row>
    <row r="39" customFormat="false" ht="23.85" hidden="false" customHeight="false" outlineLevel="0" collapsed="false">
      <c r="A39" s="2" t="s">
        <v>44</v>
      </c>
      <c r="B39" s="2" t="s">
        <v>562</v>
      </c>
      <c r="C39" s="6" t="s">
        <v>555</v>
      </c>
      <c r="D39" s="6" t="s">
        <v>563</v>
      </c>
      <c r="E39" s="6" t="s">
        <v>564</v>
      </c>
    </row>
    <row r="40" customFormat="false" ht="23.85" hidden="false" customHeight="false" outlineLevel="0" collapsed="false">
      <c r="A40" s="2" t="s">
        <v>45</v>
      </c>
      <c r="B40" s="2" t="s">
        <v>562</v>
      </c>
      <c r="C40" s="6" t="s">
        <v>555</v>
      </c>
      <c r="D40" s="6" t="s">
        <v>563</v>
      </c>
      <c r="E40" s="6" t="s">
        <v>564</v>
      </c>
    </row>
    <row r="41" customFormat="false" ht="23.85" hidden="false" customHeight="false" outlineLevel="0" collapsed="false">
      <c r="A41" s="2" t="s">
        <v>46</v>
      </c>
      <c r="B41" s="2" t="s">
        <v>562</v>
      </c>
      <c r="C41" s="6" t="s">
        <v>555</v>
      </c>
      <c r="D41" s="6" t="s">
        <v>563</v>
      </c>
      <c r="E41" s="6" t="s">
        <v>564</v>
      </c>
    </row>
    <row r="42" customFormat="false" ht="23.85" hidden="false" customHeight="false" outlineLevel="0" collapsed="false">
      <c r="A42" s="2" t="s">
        <v>47</v>
      </c>
      <c r="B42" s="2" t="s">
        <v>562</v>
      </c>
      <c r="C42" s="6" t="s">
        <v>555</v>
      </c>
      <c r="D42" s="6" t="s">
        <v>563</v>
      </c>
      <c r="E42" s="6" t="s">
        <v>564</v>
      </c>
    </row>
    <row r="43" customFormat="false" ht="23.85" hidden="false" customHeight="false" outlineLevel="0" collapsed="false">
      <c r="A43" s="2" t="s">
        <v>49</v>
      </c>
      <c r="B43" s="2" t="s">
        <v>562</v>
      </c>
      <c r="C43" s="6" t="s">
        <v>555</v>
      </c>
      <c r="D43" s="6" t="s">
        <v>563</v>
      </c>
      <c r="E43" s="6" t="s">
        <v>564</v>
      </c>
    </row>
    <row r="44" customFormat="false" ht="23.85" hidden="false" customHeight="false" outlineLevel="0" collapsed="false">
      <c r="A44" s="2" t="s">
        <v>558</v>
      </c>
      <c r="B44" s="2" t="s">
        <v>562</v>
      </c>
      <c r="C44" s="6" t="s">
        <v>555</v>
      </c>
      <c r="D44" s="6" t="s">
        <v>563</v>
      </c>
      <c r="E44" s="6" t="s">
        <v>564</v>
      </c>
    </row>
    <row r="45" customFormat="false" ht="23.85" hidden="false" customHeight="false" outlineLevel="0" collapsed="false">
      <c r="A45" s="2" t="s">
        <v>51</v>
      </c>
      <c r="B45" s="2" t="s">
        <v>562</v>
      </c>
      <c r="C45" s="6" t="s">
        <v>555</v>
      </c>
      <c r="D45" s="6" t="s">
        <v>563</v>
      </c>
      <c r="E45" s="6" t="s">
        <v>564</v>
      </c>
    </row>
    <row r="46" customFormat="false" ht="23.85" hidden="false" customHeight="false" outlineLevel="0" collapsed="false">
      <c r="A46" s="2" t="s">
        <v>52</v>
      </c>
      <c r="B46" s="2" t="s">
        <v>562</v>
      </c>
      <c r="C46" s="6" t="s">
        <v>555</v>
      </c>
      <c r="D46" s="6" t="s">
        <v>563</v>
      </c>
      <c r="E46" s="6" t="s">
        <v>564</v>
      </c>
    </row>
    <row r="47" customFormat="false" ht="23.85" hidden="false" customHeight="false" outlineLevel="0" collapsed="false">
      <c r="A47" s="2" t="s">
        <v>54</v>
      </c>
      <c r="B47" s="2" t="s">
        <v>562</v>
      </c>
      <c r="C47" s="6" t="s">
        <v>555</v>
      </c>
      <c r="D47" s="6" t="s">
        <v>563</v>
      </c>
      <c r="E47" s="6" t="s">
        <v>564</v>
      </c>
    </row>
    <row r="48" customFormat="false" ht="23.85" hidden="false" customHeight="false" outlineLevel="0" collapsed="false">
      <c r="A48" s="2" t="s">
        <v>55</v>
      </c>
      <c r="B48" s="2" t="s">
        <v>562</v>
      </c>
      <c r="C48" s="6" t="s">
        <v>555</v>
      </c>
      <c r="D48" s="6" t="s">
        <v>563</v>
      </c>
      <c r="E48" s="6" t="s">
        <v>564</v>
      </c>
    </row>
    <row r="49" customFormat="false" ht="23.85" hidden="false" customHeight="false" outlineLevel="0" collapsed="false">
      <c r="A49" s="2" t="s">
        <v>56</v>
      </c>
      <c r="B49" s="2" t="s">
        <v>562</v>
      </c>
      <c r="C49" s="6" t="s">
        <v>555</v>
      </c>
      <c r="D49" s="6" t="s">
        <v>563</v>
      </c>
      <c r="E49" s="6" t="s">
        <v>564</v>
      </c>
    </row>
    <row r="50" customFormat="false" ht="23.85" hidden="false" customHeight="false" outlineLevel="0" collapsed="false">
      <c r="A50" s="2" t="s">
        <v>57</v>
      </c>
      <c r="B50" s="2" t="s">
        <v>562</v>
      </c>
      <c r="C50" s="6" t="s">
        <v>555</v>
      </c>
      <c r="D50" s="6" t="s">
        <v>563</v>
      </c>
      <c r="E50" s="6" t="s">
        <v>564</v>
      </c>
    </row>
    <row r="51" customFormat="false" ht="23.85" hidden="false" customHeight="false" outlineLevel="0" collapsed="false">
      <c r="A51" s="2" t="s">
        <v>58</v>
      </c>
      <c r="B51" s="2" t="s">
        <v>562</v>
      </c>
      <c r="C51" s="6" t="s">
        <v>555</v>
      </c>
      <c r="D51" s="6" t="s">
        <v>563</v>
      </c>
      <c r="E51" s="6" t="s">
        <v>564</v>
      </c>
    </row>
    <row r="52" customFormat="false" ht="23.85" hidden="false" customHeight="false" outlineLevel="0" collapsed="false">
      <c r="A52" s="2" t="s">
        <v>59</v>
      </c>
      <c r="B52" s="2" t="s">
        <v>562</v>
      </c>
      <c r="C52" s="6" t="s">
        <v>555</v>
      </c>
      <c r="D52" s="6" t="s">
        <v>563</v>
      </c>
      <c r="E52" s="6" t="s">
        <v>564</v>
      </c>
    </row>
    <row r="53" customFormat="false" ht="23.85" hidden="false" customHeight="false" outlineLevel="0" collapsed="false">
      <c r="A53" s="2" t="s">
        <v>60</v>
      </c>
      <c r="B53" s="2" t="s">
        <v>562</v>
      </c>
      <c r="C53" s="6" t="s">
        <v>555</v>
      </c>
      <c r="D53" s="6" t="s">
        <v>563</v>
      </c>
      <c r="E53" s="6" t="s">
        <v>564</v>
      </c>
    </row>
    <row r="54" customFormat="false" ht="23.85" hidden="false" customHeight="false" outlineLevel="0" collapsed="false">
      <c r="A54" s="2" t="s">
        <v>61</v>
      </c>
      <c r="B54" s="2" t="s">
        <v>562</v>
      </c>
      <c r="C54" s="6" t="s">
        <v>555</v>
      </c>
      <c r="D54" s="6" t="s">
        <v>563</v>
      </c>
      <c r="E54" s="6" t="s">
        <v>564</v>
      </c>
    </row>
    <row r="55" customFormat="false" ht="23.85" hidden="false" customHeight="false" outlineLevel="0" collapsed="false">
      <c r="A55" s="2" t="s">
        <v>63</v>
      </c>
      <c r="B55" s="2" t="s">
        <v>562</v>
      </c>
      <c r="C55" s="6" t="s">
        <v>555</v>
      </c>
      <c r="D55" s="6" t="s">
        <v>563</v>
      </c>
      <c r="E55" s="6" t="s">
        <v>564</v>
      </c>
    </row>
    <row r="56" customFormat="false" ht="23.85" hidden="false" customHeight="false" outlineLevel="0" collapsed="false">
      <c r="A56" s="2" t="s">
        <v>64</v>
      </c>
      <c r="B56" s="2" t="s">
        <v>562</v>
      </c>
      <c r="C56" s="6" t="s">
        <v>555</v>
      </c>
      <c r="D56" s="6" t="s">
        <v>563</v>
      </c>
      <c r="E56" s="6" t="s">
        <v>564</v>
      </c>
    </row>
    <row r="57" customFormat="false" ht="23.85" hidden="false" customHeight="false" outlineLevel="0" collapsed="false">
      <c r="A57" s="2" t="s">
        <v>65</v>
      </c>
      <c r="B57" s="2" t="s">
        <v>562</v>
      </c>
      <c r="C57" s="6" t="s">
        <v>555</v>
      </c>
      <c r="D57" s="6" t="s">
        <v>563</v>
      </c>
      <c r="E57" s="6" t="s">
        <v>564</v>
      </c>
    </row>
    <row r="58" customFormat="false" ht="23.85" hidden="false" customHeight="false" outlineLevel="0" collapsed="false">
      <c r="A58" s="2" t="s">
        <v>559</v>
      </c>
      <c r="B58" s="2" t="s">
        <v>562</v>
      </c>
      <c r="C58" s="6" t="s">
        <v>555</v>
      </c>
      <c r="D58" s="6" t="s">
        <v>563</v>
      </c>
      <c r="E58" s="6" t="s">
        <v>564</v>
      </c>
    </row>
    <row r="59" customFormat="false" ht="23.85" hidden="false" customHeight="false" outlineLevel="0" collapsed="false">
      <c r="A59" s="2" t="s">
        <v>68</v>
      </c>
      <c r="B59" s="2" t="s">
        <v>562</v>
      </c>
      <c r="C59" s="6" t="s">
        <v>555</v>
      </c>
      <c r="D59" s="6" t="s">
        <v>563</v>
      </c>
      <c r="E59" s="6" t="s">
        <v>564</v>
      </c>
    </row>
    <row r="60" customFormat="false" ht="23.85" hidden="false" customHeight="false" outlineLevel="0" collapsed="false">
      <c r="A60" s="2" t="s">
        <v>69</v>
      </c>
      <c r="B60" s="2" t="s">
        <v>562</v>
      </c>
      <c r="C60" s="6" t="s">
        <v>555</v>
      </c>
      <c r="D60" s="6" t="s">
        <v>563</v>
      </c>
      <c r="E60" s="6" t="s">
        <v>564</v>
      </c>
    </row>
    <row r="61" customFormat="false" ht="23.85" hidden="false" customHeight="false" outlineLevel="0" collapsed="false">
      <c r="A61" s="2" t="s">
        <v>565</v>
      </c>
      <c r="B61" s="2" t="s">
        <v>562</v>
      </c>
      <c r="C61" s="6" t="s">
        <v>555</v>
      </c>
      <c r="D61" s="6" t="s">
        <v>563</v>
      </c>
      <c r="E61" s="6" t="s">
        <v>564</v>
      </c>
    </row>
    <row r="62" customFormat="false" ht="23.85" hidden="false" customHeight="false" outlineLevel="0" collapsed="false">
      <c r="A62" s="2" t="s">
        <v>71</v>
      </c>
      <c r="B62" s="2" t="s">
        <v>562</v>
      </c>
      <c r="C62" s="6" t="s">
        <v>555</v>
      </c>
      <c r="D62" s="6" t="s">
        <v>563</v>
      </c>
      <c r="E62" s="6" t="s">
        <v>564</v>
      </c>
    </row>
    <row r="63" customFormat="false" ht="23.85" hidden="false" customHeight="false" outlineLevel="0" collapsed="false">
      <c r="A63" s="2" t="s">
        <v>74</v>
      </c>
      <c r="B63" s="2" t="s">
        <v>562</v>
      </c>
      <c r="C63" s="6" t="s">
        <v>555</v>
      </c>
      <c r="D63" s="6" t="s">
        <v>563</v>
      </c>
      <c r="E63" s="6" t="s">
        <v>564</v>
      </c>
    </row>
    <row r="64" customFormat="false" ht="23.85" hidden="false" customHeight="false" outlineLevel="0" collapsed="false">
      <c r="A64" s="2" t="s">
        <v>75</v>
      </c>
      <c r="B64" s="2" t="s">
        <v>562</v>
      </c>
      <c r="C64" s="6" t="s">
        <v>555</v>
      </c>
      <c r="D64" s="6" t="s">
        <v>563</v>
      </c>
      <c r="E64" s="6" t="s">
        <v>564</v>
      </c>
    </row>
    <row r="65" customFormat="false" ht="23.85" hidden="false" customHeight="false" outlineLevel="0" collapsed="false">
      <c r="A65" s="2" t="s">
        <v>76</v>
      </c>
      <c r="B65" s="2" t="s">
        <v>562</v>
      </c>
      <c r="C65" s="6" t="s">
        <v>555</v>
      </c>
      <c r="D65" s="6" t="s">
        <v>563</v>
      </c>
      <c r="E65" s="6" t="s">
        <v>564</v>
      </c>
    </row>
    <row r="66" customFormat="false" ht="23.85" hidden="false" customHeight="false" outlineLevel="0" collapsed="false">
      <c r="A66" s="2" t="s">
        <v>77</v>
      </c>
      <c r="B66" s="2" t="s">
        <v>562</v>
      </c>
      <c r="C66" s="6" t="s">
        <v>555</v>
      </c>
      <c r="D66" s="6" t="s">
        <v>563</v>
      </c>
      <c r="E66" s="6" t="s">
        <v>564</v>
      </c>
    </row>
    <row r="67" customFormat="false" ht="23.85" hidden="false" customHeight="false" outlineLevel="0" collapsed="false">
      <c r="A67" s="2" t="s">
        <v>78</v>
      </c>
      <c r="B67" s="2" t="s">
        <v>562</v>
      </c>
      <c r="C67" s="6" t="s">
        <v>555</v>
      </c>
      <c r="D67" s="6" t="s">
        <v>563</v>
      </c>
      <c r="E67" s="6" t="s">
        <v>564</v>
      </c>
    </row>
    <row r="68" customFormat="false" ht="23.85" hidden="false" customHeight="false" outlineLevel="0" collapsed="false">
      <c r="A68" s="2" t="s">
        <v>560</v>
      </c>
      <c r="B68" s="2" t="s">
        <v>562</v>
      </c>
      <c r="C68" s="6" t="s">
        <v>555</v>
      </c>
      <c r="D68" s="6" t="s">
        <v>563</v>
      </c>
      <c r="E68" s="6" t="s">
        <v>564</v>
      </c>
    </row>
    <row r="69" customFormat="false" ht="23.85" hidden="false" customHeight="false" outlineLevel="0" collapsed="false">
      <c r="A69" s="2" t="s">
        <v>81</v>
      </c>
      <c r="B69" s="2" t="s">
        <v>562</v>
      </c>
      <c r="C69" s="6" t="s">
        <v>555</v>
      </c>
      <c r="D69" s="6" t="s">
        <v>563</v>
      </c>
      <c r="E69" s="6" t="s">
        <v>564</v>
      </c>
    </row>
    <row r="70" customFormat="false" ht="23.85" hidden="false" customHeight="false" outlineLevel="0" collapsed="false">
      <c r="A70" s="2" t="s">
        <v>83</v>
      </c>
      <c r="B70" s="2" t="s">
        <v>562</v>
      </c>
      <c r="C70" s="6" t="s">
        <v>555</v>
      </c>
      <c r="D70" s="6" t="s">
        <v>563</v>
      </c>
      <c r="E70" s="6" t="s">
        <v>564</v>
      </c>
    </row>
    <row r="71" customFormat="false" ht="23.85" hidden="false" customHeight="false" outlineLevel="0" collapsed="false">
      <c r="A71" s="2" t="s">
        <v>84</v>
      </c>
      <c r="B71" s="2" t="s">
        <v>562</v>
      </c>
      <c r="C71" s="6" t="s">
        <v>555</v>
      </c>
      <c r="D71" s="6" t="s">
        <v>563</v>
      </c>
      <c r="E71" s="6" t="s">
        <v>564</v>
      </c>
    </row>
    <row r="72" customFormat="false" ht="23.85" hidden="false" customHeight="false" outlineLevel="0" collapsed="false">
      <c r="A72" s="2" t="s">
        <v>85</v>
      </c>
      <c r="B72" s="2" t="s">
        <v>562</v>
      </c>
      <c r="C72" s="6" t="s">
        <v>555</v>
      </c>
      <c r="D72" s="6" t="s">
        <v>563</v>
      </c>
      <c r="E72" s="6" t="s">
        <v>564</v>
      </c>
    </row>
    <row r="73" customFormat="false" ht="23.85" hidden="false" customHeight="false" outlineLevel="0" collapsed="false">
      <c r="A73" s="2" t="s">
        <v>86</v>
      </c>
      <c r="B73" s="2" t="s">
        <v>562</v>
      </c>
      <c r="C73" s="6" t="s">
        <v>555</v>
      </c>
      <c r="D73" s="6" t="s">
        <v>563</v>
      </c>
      <c r="E73" s="6" t="s">
        <v>564</v>
      </c>
    </row>
    <row r="74" customFormat="false" ht="23.85" hidden="false" customHeight="false" outlineLevel="0" collapsed="false">
      <c r="A74" s="2" t="s">
        <v>87</v>
      </c>
      <c r="B74" s="2" t="s">
        <v>562</v>
      </c>
      <c r="C74" s="6" t="s">
        <v>555</v>
      </c>
      <c r="D74" s="6" t="s">
        <v>563</v>
      </c>
      <c r="E74" s="6" t="s">
        <v>564</v>
      </c>
    </row>
    <row r="75" customFormat="false" ht="23.85" hidden="false" customHeight="false" outlineLevel="0" collapsed="false">
      <c r="A75" s="2" t="s">
        <v>561</v>
      </c>
      <c r="B75" s="2" t="s">
        <v>562</v>
      </c>
      <c r="C75" s="6" t="s">
        <v>555</v>
      </c>
      <c r="D75" s="6" t="s">
        <v>563</v>
      </c>
      <c r="E75" s="6" t="s">
        <v>564</v>
      </c>
    </row>
    <row r="76" customFormat="false" ht="23.85" hidden="false" customHeight="false" outlineLevel="0" collapsed="false">
      <c r="A76" s="2" t="s">
        <v>89</v>
      </c>
      <c r="B76" s="2" t="s">
        <v>562</v>
      </c>
      <c r="C76" s="6" t="s">
        <v>555</v>
      </c>
      <c r="D76" s="6" t="s">
        <v>563</v>
      </c>
      <c r="E76" s="6" t="s">
        <v>564</v>
      </c>
    </row>
    <row r="77" customFormat="false" ht="23.85" hidden="false" customHeight="false" outlineLevel="0" collapsed="false">
      <c r="A77" s="2" t="s">
        <v>90</v>
      </c>
      <c r="B77" s="2" t="s">
        <v>562</v>
      </c>
      <c r="C77" s="6" t="s">
        <v>555</v>
      </c>
      <c r="D77" s="6" t="s">
        <v>563</v>
      </c>
      <c r="E77" s="6" t="s">
        <v>564</v>
      </c>
    </row>
  </sheetData>
  <autoFilter ref="A1:E7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20"/>
  </cols>
  <sheetData>
    <row r="1" customFormat="false" ht="16.15" hidden="false" customHeight="false" outlineLevel="0" collapsed="false">
      <c r="A1" s="7" t="s">
        <v>566</v>
      </c>
    </row>
    <row r="3" customFormat="false" ht="15" hidden="false" customHeight="false" outlineLevel="0" collapsed="false">
      <c r="A3" s="8" t="s">
        <v>567</v>
      </c>
      <c r="B3" s="9" t="n">
        <f aca="false">COUNTA(Wheat_Yield_Data!A2:A437)</f>
        <v>436</v>
      </c>
    </row>
    <row r="4" customFormat="false" ht="15" hidden="false" customHeight="false" outlineLevel="0" collapsed="false">
      <c r="A4" s="8" t="s">
        <v>568</v>
      </c>
      <c r="B4" s="9" t="n">
        <f aca="false">COUNTA(District_Name_Map!B2:B41)</f>
        <v>40</v>
      </c>
    </row>
    <row r="5" customFormat="false" ht="15" hidden="false" customHeight="false" outlineLevel="0" collapsed="false">
      <c r="A5" s="8" t="s">
        <v>569</v>
      </c>
      <c r="B5" s="9" t="n">
        <f aca="false">SUMPRODUCT(1/COUNTIF(Wheat_Yield_Data!B2:B437,Wheat_Yield_Data!B2:B437))</f>
        <v>12</v>
      </c>
    </row>
    <row r="6" customFormat="false" ht="15" hidden="false" customHeight="false" outlineLevel="0" collapsed="false">
      <c r="A6" s="8" t="s">
        <v>570</v>
      </c>
      <c r="B6" s="9" t="s">
        <v>9</v>
      </c>
    </row>
    <row r="7" customFormat="false" ht="15" hidden="false" customHeight="false" outlineLevel="0" collapsed="false">
      <c r="A7" s="8" t="s">
        <v>571</v>
      </c>
      <c r="B7" s="9" t="s">
        <v>41</v>
      </c>
    </row>
    <row r="8" customFormat="false" ht="15" hidden="false" customHeight="false" outlineLevel="0" collapsed="false">
      <c r="A8" s="8" t="s">
        <v>572</v>
      </c>
      <c r="B8" s="9" t="n">
        <f aca="false">COUNTIF(Wheat_Yield_Data!H2:H437,"*directly reported*")</f>
        <v>417</v>
      </c>
    </row>
    <row r="9" customFormat="false" ht="15" hidden="false" customHeight="false" outlineLevel="0" collapsed="false">
      <c r="A9" s="8" t="s">
        <v>573</v>
      </c>
      <c r="B9" s="9" t="n">
        <f aca="false">COUNTIF(Wheat_Yield_Data!H2:H437,"*calculated*")</f>
        <v>19</v>
      </c>
    </row>
    <row r="10" customFormat="false" ht="15" hidden="false" customHeight="false" outlineLevel="0" collapsed="false">
      <c r="A10" s="8" t="s">
        <v>574</v>
      </c>
      <c r="B10" s="9" t="n">
        <f aca="false">COUNTA(Missing_Unverified!A2:A77)</f>
        <v>76</v>
      </c>
    </row>
    <row r="11" customFormat="false" ht="35.05" hidden="false" customHeight="false" outlineLevel="0" collapsed="false">
      <c r="A11" s="8" t="s">
        <v>575</v>
      </c>
      <c r="B11" s="9" t="s">
        <v>576</v>
      </c>
    </row>
    <row r="12" customFormat="false" ht="15" hidden="false" customHeight="false" outlineLevel="0" collapsed="false">
      <c r="A12" s="8" t="s">
        <v>577</v>
      </c>
      <c r="B12" s="9" t="s">
        <v>578</v>
      </c>
    </row>
    <row r="13" customFormat="false" ht="15" hidden="false" customHeight="false" outlineLevel="0" collapsed="false">
      <c r="A13" s="8" t="s">
        <v>579</v>
      </c>
      <c r="B13" s="9" t="s">
        <v>580</v>
      </c>
    </row>
    <row r="15" customFormat="false" ht="15" hidden="false" customHeight="false" outlineLevel="0" collapsed="false">
      <c r="A15" s="8" t="s">
        <v>581</v>
      </c>
    </row>
    <row r="16" customFormat="false" ht="23.85" hidden="false" customHeight="false" outlineLevel="0" collapsed="false">
      <c r="A16" s="10" t="s">
        <v>582</v>
      </c>
      <c r="B16" s="6" t="s">
        <v>583</v>
      </c>
    </row>
    <row r="17" customFormat="false" ht="35.05" hidden="false" customHeight="false" outlineLevel="0" collapsed="false">
      <c r="A17" s="10" t="s">
        <v>584</v>
      </c>
      <c r="B17" s="6" t="s">
        <v>585</v>
      </c>
    </row>
    <row r="18" customFormat="false" ht="23.85" hidden="false" customHeight="false" outlineLevel="0" collapsed="false">
      <c r="A18" s="10" t="s">
        <v>586</v>
      </c>
      <c r="B18" s="6" t="s">
        <v>587</v>
      </c>
    </row>
    <row r="19" customFormat="false" ht="23.85" hidden="false" customHeight="false" outlineLevel="0" collapsed="false">
      <c r="A19" s="10" t="s">
        <v>588</v>
      </c>
      <c r="B19" s="6" t="s">
        <v>589</v>
      </c>
    </row>
    <row r="20" customFormat="false" ht="35.05" hidden="false" customHeight="false" outlineLevel="0" collapsed="false">
      <c r="A20" s="10" t="s">
        <v>590</v>
      </c>
      <c r="B20" s="6" t="s">
        <v>591</v>
      </c>
    </row>
    <row r="21" customFormat="false" ht="35.05" hidden="false" customHeight="false" outlineLevel="0" collapsed="false">
      <c r="A21" s="10" t="s">
        <v>592</v>
      </c>
      <c r="B21" s="6" t="s">
        <v>593</v>
      </c>
    </row>
    <row r="22" customFormat="false" ht="35.05" hidden="false" customHeight="false" outlineLevel="0" collapsed="false">
      <c r="A22" s="10" t="s">
        <v>594</v>
      </c>
      <c r="B22" s="6" t="s">
        <v>595</v>
      </c>
    </row>
    <row r="23" customFormat="false" ht="46.25" hidden="false" customHeight="false" outlineLevel="0" collapsed="false">
      <c r="A23" s="10" t="s">
        <v>596</v>
      </c>
      <c r="B23" s="6" t="s">
        <v>597</v>
      </c>
    </row>
    <row r="24" customFormat="false" ht="23.85" hidden="false" customHeight="false" outlineLevel="0" collapsed="false">
      <c r="A24" s="10" t="s">
        <v>598</v>
      </c>
      <c r="B24" s="6" t="s">
        <v>599</v>
      </c>
    </row>
    <row r="25" customFormat="false" ht="15" hidden="false" customHeight="false" outlineLevel="0" collapsed="false">
      <c r="A25" s="10" t="s">
        <v>85</v>
      </c>
      <c r="B25" s="6" t="s">
        <v>600</v>
      </c>
    </row>
    <row r="26" customFormat="false" ht="15" hidden="false" customHeight="false" outlineLevel="0" collapsed="false">
      <c r="A26" s="10" t="s">
        <v>601</v>
      </c>
      <c r="B26" s="6" t="s">
        <v>602</v>
      </c>
    </row>
    <row r="27" customFormat="false" ht="23.85" hidden="false" customHeight="false" outlineLevel="0" collapsed="false">
      <c r="A27" s="10" t="s">
        <v>603</v>
      </c>
      <c r="B27" s="6" t="s">
        <v>604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30"/>
    <col collapsed="false" customWidth="true" hidden="false" outlineLevel="0" max="3" min="3" style="0" width="80"/>
  </cols>
  <sheetData>
    <row r="1" customFormat="false" ht="31.5" hidden="false" customHeight="true" outlineLevel="0" collapsed="false">
      <c r="A1" s="1" t="s">
        <v>605</v>
      </c>
      <c r="B1" s="1" t="s">
        <v>606</v>
      </c>
      <c r="C1" s="1" t="s">
        <v>607</v>
      </c>
    </row>
    <row r="2" customFormat="false" ht="15" hidden="false" customHeight="false" outlineLevel="0" collapsed="false">
      <c r="A2" s="2" t="s">
        <v>8</v>
      </c>
      <c r="B2" s="2" t="s">
        <v>8</v>
      </c>
      <c r="C2" s="2"/>
    </row>
    <row r="3" customFormat="false" ht="15" hidden="false" customHeight="false" outlineLevel="0" collapsed="false">
      <c r="A3" s="2" t="s">
        <v>44</v>
      </c>
      <c r="B3" s="2" t="s">
        <v>44</v>
      </c>
      <c r="C3" s="2"/>
    </row>
    <row r="4" customFormat="false" ht="15" hidden="false" customHeight="false" outlineLevel="0" collapsed="false">
      <c r="A4" s="2" t="s">
        <v>45</v>
      </c>
      <c r="B4" s="2" t="s">
        <v>45</v>
      </c>
      <c r="C4" s="2"/>
    </row>
    <row r="5" customFormat="false" ht="15" hidden="false" customHeight="false" outlineLevel="0" collapsed="false">
      <c r="A5" s="2" t="s">
        <v>46</v>
      </c>
      <c r="B5" s="2" t="s">
        <v>46</v>
      </c>
      <c r="C5" s="2"/>
    </row>
    <row r="6" customFormat="false" ht="15" hidden="false" customHeight="false" outlineLevel="0" collapsed="false">
      <c r="A6" s="2" t="s">
        <v>47</v>
      </c>
      <c r="B6" s="2" t="s">
        <v>47</v>
      </c>
      <c r="C6" s="2"/>
    </row>
    <row r="7" customFormat="false" ht="15" hidden="false" customHeight="false" outlineLevel="0" collapsed="false">
      <c r="A7" s="2" t="s">
        <v>49</v>
      </c>
      <c r="B7" s="2" t="s">
        <v>49</v>
      </c>
      <c r="C7" s="2"/>
    </row>
    <row r="8" customFormat="false" ht="15" hidden="false" customHeight="false" outlineLevel="0" collapsed="false">
      <c r="A8" s="2" t="s">
        <v>50</v>
      </c>
      <c r="B8" s="2" t="s">
        <v>558</v>
      </c>
      <c r="C8" s="2" t="s">
        <v>608</v>
      </c>
    </row>
    <row r="9" customFormat="false" ht="15" hidden="false" customHeight="false" outlineLevel="0" collapsed="false">
      <c r="A9" s="2" t="s">
        <v>51</v>
      </c>
      <c r="B9" s="2" t="s">
        <v>51</v>
      </c>
      <c r="C9" s="2"/>
    </row>
    <row r="10" customFormat="false" ht="15" hidden="false" customHeight="false" outlineLevel="0" collapsed="false">
      <c r="A10" s="2" t="s">
        <v>52</v>
      </c>
      <c r="B10" s="2" t="s">
        <v>52</v>
      </c>
      <c r="C10" s="2"/>
    </row>
    <row r="11" customFormat="false" ht="15" hidden="false" customHeight="false" outlineLevel="0" collapsed="false">
      <c r="A11" s="2" t="s">
        <v>54</v>
      </c>
      <c r="B11" s="2" t="s">
        <v>54</v>
      </c>
      <c r="C11" s="2"/>
    </row>
    <row r="12" customFormat="false" ht="15" hidden="false" customHeight="false" outlineLevel="0" collapsed="false">
      <c r="A12" s="2" t="s">
        <v>55</v>
      </c>
      <c r="B12" s="2" t="s">
        <v>55</v>
      </c>
      <c r="C12" s="2"/>
    </row>
    <row r="13" customFormat="false" ht="15" hidden="false" customHeight="false" outlineLevel="0" collapsed="false">
      <c r="A13" s="2" t="s">
        <v>56</v>
      </c>
      <c r="B13" s="2" t="s">
        <v>56</v>
      </c>
      <c r="C13" s="2"/>
    </row>
    <row r="14" customFormat="false" ht="15" hidden="false" customHeight="false" outlineLevel="0" collapsed="false">
      <c r="A14" s="2" t="s">
        <v>57</v>
      </c>
      <c r="B14" s="2" t="s">
        <v>57</v>
      </c>
      <c r="C14" s="2"/>
    </row>
    <row r="15" customFormat="false" ht="15" hidden="false" customHeight="false" outlineLevel="0" collapsed="false">
      <c r="A15" s="2" t="s">
        <v>58</v>
      </c>
      <c r="B15" s="2" t="s">
        <v>58</v>
      </c>
      <c r="C15" s="2"/>
    </row>
    <row r="16" customFormat="false" ht="15" hidden="false" customHeight="false" outlineLevel="0" collapsed="false">
      <c r="A16" s="2" t="s">
        <v>59</v>
      </c>
      <c r="B16" s="2" t="s">
        <v>59</v>
      </c>
      <c r="C16" s="2"/>
    </row>
    <row r="17" customFormat="false" ht="15" hidden="false" customHeight="false" outlineLevel="0" collapsed="false">
      <c r="A17" s="2" t="s">
        <v>60</v>
      </c>
      <c r="B17" s="2" t="s">
        <v>60</v>
      </c>
      <c r="C17" s="2"/>
    </row>
    <row r="18" customFormat="false" ht="15" hidden="false" customHeight="false" outlineLevel="0" collapsed="false">
      <c r="A18" s="2" t="s">
        <v>61</v>
      </c>
      <c r="B18" s="2" t="s">
        <v>61</v>
      </c>
      <c r="C18" s="2"/>
    </row>
    <row r="19" customFormat="false" ht="15" hidden="false" customHeight="false" outlineLevel="0" collapsed="false">
      <c r="A19" s="2" t="s">
        <v>63</v>
      </c>
      <c r="B19" s="2" t="s">
        <v>63</v>
      </c>
      <c r="C19" s="2"/>
    </row>
    <row r="20" customFormat="false" ht="15" hidden="false" customHeight="false" outlineLevel="0" collapsed="false">
      <c r="A20" s="2" t="s">
        <v>64</v>
      </c>
      <c r="B20" s="2" t="s">
        <v>64</v>
      </c>
      <c r="C20" s="2"/>
    </row>
    <row r="21" customFormat="false" ht="15" hidden="false" customHeight="false" outlineLevel="0" collapsed="false">
      <c r="A21" s="2" t="s">
        <v>65</v>
      </c>
      <c r="B21" s="2" t="s">
        <v>65</v>
      </c>
      <c r="C21" s="2"/>
    </row>
    <row r="22" customFormat="false" ht="15" hidden="false" customHeight="false" outlineLevel="0" collapsed="false">
      <c r="A22" s="2" t="s">
        <v>609</v>
      </c>
      <c r="B22" s="2" t="s">
        <v>559</v>
      </c>
      <c r="C22" s="2" t="s">
        <v>610</v>
      </c>
    </row>
    <row r="23" customFormat="false" ht="15" hidden="false" customHeight="false" outlineLevel="0" collapsed="false">
      <c r="A23" s="2" t="s">
        <v>68</v>
      </c>
      <c r="B23" s="2" t="s">
        <v>68</v>
      </c>
      <c r="C23" s="2"/>
    </row>
    <row r="24" customFormat="false" ht="15" hidden="false" customHeight="false" outlineLevel="0" collapsed="false">
      <c r="A24" s="2" t="s">
        <v>69</v>
      </c>
      <c r="B24" s="2" t="s">
        <v>69</v>
      </c>
      <c r="C24" s="2"/>
    </row>
    <row r="25" customFormat="false" ht="15" hidden="false" customHeight="false" outlineLevel="0" collapsed="false">
      <c r="A25" s="2" t="s">
        <v>70</v>
      </c>
      <c r="B25" s="2" t="s">
        <v>565</v>
      </c>
      <c r="C25" s="2"/>
    </row>
    <row r="26" customFormat="false" ht="15" hidden="false" customHeight="false" outlineLevel="0" collapsed="false">
      <c r="A26" s="2" t="s">
        <v>611</v>
      </c>
      <c r="B26" s="2" t="s">
        <v>71</v>
      </c>
      <c r="C26" s="2" t="s">
        <v>612</v>
      </c>
    </row>
    <row r="27" customFormat="false" ht="15" hidden="false" customHeight="false" outlineLevel="0" collapsed="false">
      <c r="A27" s="2" t="s">
        <v>74</v>
      </c>
      <c r="B27" s="2" t="s">
        <v>74</v>
      </c>
      <c r="C27" s="2" t="s">
        <v>613</v>
      </c>
    </row>
    <row r="28" customFormat="false" ht="15" hidden="false" customHeight="false" outlineLevel="0" collapsed="false">
      <c r="A28" s="2" t="s">
        <v>75</v>
      </c>
      <c r="B28" s="2" t="s">
        <v>75</v>
      </c>
      <c r="C28" s="2"/>
    </row>
    <row r="29" customFormat="false" ht="15" hidden="false" customHeight="false" outlineLevel="0" collapsed="false">
      <c r="A29" s="2" t="s">
        <v>76</v>
      </c>
      <c r="B29" s="2" t="s">
        <v>76</v>
      </c>
      <c r="C29" s="2"/>
    </row>
    <row r="30" customFormat="false" ht="15" hidden="false" customHeight="false" outlineLevel="0" collapsed="false">
      <c r="A30" s="2" t="s">
        <v>77</v>
      </c>
      <c r="B30" s="2" t="s">
        <v>77</v>
      </c>
      <c r="C30" s="2"/>
    </row>
    <row r="31" customFormat="false" ht="15" hidden="false" customHeight="false" outlineLevel="0" collapsed="false">
      <c r="A31" s="2" t="s">
        <v>614</v>
      </c>
      <c r="B31" s="2" t="s">
        <v>78</v>
      </c>
      <c r="C31" s="2" t="s">
        <v>615</v>
      </c>
    </row>
    <row r="32" customFormat="false" ht="15" hidden="false" customHeight="false" outlineLevel="0" collapsed="false">
      <c r="A32" s="2" t="s">
        <v>616</v>
      </c>
      <c r="B32" s="2" t="s">
        <v>560</v>
      </c>
      <c r="C32" s="2" t="s">
        <v>617</v>
      </c>
    </row>
    <row r="33" customFormat="false" ht="15" hidden="false" customHeight="false" outlineLevel="0" collapsed="false">
      <c r="A33" s="2" t="s">
        <v>81</v>
      </c>
      <c r="B33" s="2" t="s">
        <v>81</v>
      </c>
      <c r="C33" s="2"/>
    </row>
    <row r="34" customFormat="false" ht="15" hidden="false" customHeight="false" outlineLevel="0" collapsed="false">
      <c r="A34" s="2" t="s">
        <v>83</v>
      </c>
      <c r="B34" s="2" t="s">
        <v>83</v>
      </c>
      <c r="C34" s="2"/>
    </row>
    <row r="35" customFormat="false" ht="15" hidden="false" customHeight="false" outlineLevel="0" collapsed="false">
      <c r="A35" s="2" t="s">
        <v>84</v>
      </c>
      <c r="B35" s="2" t="s">
        <v>84</v>
      </c>
      <c r="C35" s="2"/>
    </row>
    <row r="36" customFormat="false" ht="15" hidden="false" customHeight="false" outlineLevel="0" collapsed="false">
      <c r="A36" s="2" t="s">
        <v>85</v>
      </c>
      <c r="B36" s="2" t="s">
        <v>85</v>
      </c>
      <c r="C36" s="2"/>
    </row>
    <row r="37" customFormat="false" ht="15" hidden="false" customHeight="false" outlineLevel="0" collapsed="false">
      <c r="A37" s="2" t="s">
        <v>86</v>
      </c>
      <c r="B37" s="2" t="s">
        <v>86</v>
      </c>
      <c r="C37" s="2"/>
    </row>
    <row r="38" customFormat="false" ht="15" hidden="false" customHeight="false" outlineLevel="0" collapsed="false">
      <c r="A38" s="2" t="s">
        <v>87</v>
      </c>
      <c r="B38" s="2" t="s">
        <v>87</v>
      </c>
      <c r="C38" s="2"/>
    </row>
    <row r="39" customFormat="false" ht="15" hidden="false" customHeight="false" outlineLevel="0" collapsed="false">
      <c r="A39" s="2" t="s">
        <v>618</v>
      </c>
      <c r="B39" s="2" t="s">
        <v>561</v>
      </c>
      <c r="C39" s="2" t="s">
        <v>619</v>
      </c>
    </row>
    <row r="40" customFormat="false" ht="15" hidden="false" customHeight="false" outlineLevel="0" collapsed="false">
      <c r="A40" s="2" t="s">
        <v>89</v>
      </c>
      <c r="B40" s="2" t="s">
        <v>89</v>
      </c>
      <c r="C40" s="2"/>
    </row>
    <row r="41" customFormat="false" ht="15" hidden="false" customHeight="false" outlineLevel="0" collapsed="false">
      <c r="A41" s="2" t="s">
        <v>90</v>
      </c>
      <c r="B41" s="2" t="s">
        <v>90</v>
      </c>
      <c r="C41"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2026-09-19T20:43:53Z</dcterms:created>
  <dc:creator>openpyxl</dc:creator>
  <dc:description/>
  <dc:language>en-US</dc:language>
  <cp:lastModifiedBy/>
  <dcterms:modified xsi:type="dcterms:W3CDTF">2026-09-19T20:43:53Z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